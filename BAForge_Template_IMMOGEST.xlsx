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ctors" sheetId="2" state="visible" r:id="rId2"/>
    <sheet xmlns:r="http://schemas.openxmlformats.org/officeDocument/2006/relationships" name="Workflows" sheetId="3" state="visible" r:id="rId3"/>
    <sheet xmlns:r="http://schemas.openxmlformats.org/officeDocument/2006/relationships" name="Business Rules" sheetId="4" state="visible" r:id="rId4"/>
    <sheet xmlns:r="http://schemas.openxmlformats.org/officeDocument/2006/relationships" name="LCK Fields" sheetId="5" state="visible" r:id="rId5"/>
    <sheet xmlns:r="http://schemas.openxmlformats.org/officeDocument/2006/relationships" name="LEF Fields" sheetId="6" state="visible" r:id="rId6"/>
    <sheet xmlns:r="http://schemas.openxmlformats.org/officeDocument/2006/relationships" name="BAF Fields" sheetId="7" state="visible" r:id="rId7"/>
    <sheet xmlns:r="http://schemas.openxmlformats.org/officeDocument/2006/relationships" name="API Endpoints" sheetId="8" state="visible" r:id="rId8"/>
    <sheet xmlns:r="http://schemas.openxmlformats.org/officeDocument/2006/relationships" name="Traceability" sheetId="9" state="visible" r:id="rId9"/>
    <sheet xmlns:r="http://schemas.openxmlformats.org/officeDocument/2006/relationships" name="Open Questions" sheetId="10" state="visible" r:id="rId10"/>
    <sheet xmlns:r="http://schemas.openxmlformats.org/officeDocument/2006/relationships" name="Glossary" sheetId="11" state="visible" r:id="rId11"/>
    <sheet xmlns:r="http://schemas.openxmlformats.org/officeDocument/2006/relationships" name="Cross-References" sheetId="12" state="visible" r:id="rId12"/>
    <sheet xmlns:r="http://schemas.openxmlformats.org/officeDocument/2006/relationships" name="RACI Matrix" sheetId="13" state="visible" r:id="rId13"/>
    <sheet xmlns:r="http://schemas.openxmlformats.org/officeDocument/2006/relationships" name="Risk Register" sheetId="14" state="visible" r:id="rId14"/>
    <sheet xmlns:r="http://schemas.openxmlformats.org/officeDocument/2006/relationships" name="NFRs" sheetId="15" state="visible" r:id="rId15"/>
    <sheet xmlns:r="http://schemas.openxmlformats.org/officeDocument/2006/relationships" name="Assumptions" sheetId="16" state="visible" r:id="rId16"/>
    <sheet xmlns:r="http://schemas.openxmlformats.org/officeDocument/2006/relationships" name="Decision Log" sheetId="17" state="visible" r:id="rId17"/>
    <sheet xmlns:r="http://schemas.openxmlformats.org/officeDocument/2006/relationships" name="Data Volumes" sheetId="18" state="visible" r:id="rId18"/>
    <sheet xmlns:r="http://schemas.openxmlformats.org/officeDocument/2006/relationships" name="Change Requests" sheetId="19" state="visible" r:id="rId19"/>
  </sheets>
  <definedNames>
    <definedName name="_xlnm._FilterDatabase" localSheetId="1" hidden="1">'Actors'!$A$1:$F$10</definedName>
    <definedName name="_xlnm._FilterDatabase" localSheetId="2" hidden="1">'Workflows'!$A$1:$I$28</definedName>
    <definedName name="_xlnm._FilterDatabase" localSheetId="3" hidden="1">'Business Rules'!$A$1:$I$12</definedName>
    <definedName name="_xlnm._FilterDatabase" localSheetId="4" hidden="1">'LCK Fields'!$A$2:$K$41</definedName>
    <definedName name="_xlnm._FilterDatabase" localSheetId="5" hidden="1">'LEF Fields'!$A$2:$K$23</definedName>
    <definedName name="_xlnm._FilterDatabase" localSheetId="6" hidden="1">'BAF Fields'!$A$2:$K$18</definedName>
    <definedName name="_xlnm._FilterDatabase" localSheetId="7" hidden="1">'API Endpoints'!$A$1:$I$7</definedName>
    <definedName name="_xlnm._FilterDatabase" localSheetId="8" hidden="1">'Traceability'!$A$1:$G$10</definedName>
    <definedName name="_xlnm._FilterDatabase" localSheetId="9" hidden="1">'Open Questions'!$A$1:$H$12</definedName>
    <definedName name="_xlnm._FilterDatabase" localSheetId="10" hidden="1">'Glossary'!$A$1:$C$22</definedName>
    <definedName name="_xlnm._FilterDatabase" localSheetId="11" hidden="1">'Cross-References'!$A$4:$F$24</definedName>
    <definedName name="_xlnm._FilterDatabase" localSheetId="12" hidden="1">'RACI Matrix'!$A$4:$I$18</definedName>
    <definedName name="_xlnm._FilterDatabase" localSheetId="13" hidden="1">'Risk Register'!$A$3:$J$9</definedName>
    <definedName name="_xlnm._FilterDatabase" localSheetId="14" hidden="1">'NFRs'!$A$3:$H$9</definedName>
    <definedName name="_xlnm._FilterDatabase" localSheetId="15" hidden="1">'Assumptions'!$A$3:$H$9</definedName>
    <definedName name="_xlnm._FilterDatabase" localSheetId="16" hidden="1">'Decision Log'!$A$3:$H$7</definedName>
    <definedName name="_xlnm._FilterDatabase" localSheetId="17" hidden="1">'Data Volumes'!$A$3:$I$9</definedName>
    <definedName name="_xlnm._FilterDatabase" localSheetId="18" hidden="1">'Change Requests'!$A$3:$K$6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3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Georgia"/>
      <charset val="1"/>
      <family val="0"/>
      <b val="1"/>
      <color rgb="FFB45309"/>
      <sz val="28"/>
    </font>
    <font>
      <name val="Georgia"/>
      <charset val="1"/>
      <family val="0"/>
      <b val="1"/>
      <color rgb="FFB45309"/>
      <sz val="16"/>
    </font>
    <font>
      <name val="Calibri"/>
      <charset val="1"/>
      <family val="0"/>
      <b val="1"/>
      <color rgb="FF0F172A"/>
      <sz val="10"/>
    </font>
    <font>
      <name val="Calibri"/>
      <charset val="1"/>
      <family val="0"/>
      <color rgb="FF334155"/>
      <sz val="10"/>
    </font>
    <font>
      <name val="Georgia"/>
      <charset val="1"/>
      <family val="0"/>
      <b val="1"/>
      <color rgb="FF0F172A"/>
      <sz val="13"/>
    </font>
    <font>
      <name val="Georgia"/>
      <charset val="1"/>
      <family val="0"/>
      <b val="1"/>
      <color rgb="FF0F172A"/>
      <sz val="28"/>
    </font>
    <font>
      <name val="Calibri"/>
      <charset val="1"/>
      <family val="0"/>
      <color rgb="FF64748B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0369A1"/>
      <sz val="10"/>
      <u val="single"/>
    </font>
    <font>
      <name val="Calibri"/>
      <charset val="1"/>
      <family val="0"/>
      <b val="1"/>
      <color rgb="FF0F172A"/>
      <sz val="11"/>
    </font>
    <font>
      <name val="Calibri"/>
      <charset val="1"/>
      <family val="0"/>
      <b val="1"/>
      <color rgb="FF166534"/>
      <sz val="10"/>
    </font>
    <font>
      <name val="Calibri"/>
      <charset val="1"/>
      <family val="0"/>
      <b val="1"/>
      <color rgb="FF92400E"/>
      <sz val="10"/>
    </font>
    <font>
      <name val="Calibri"/>
      <charset val="1"/>
      <family val="0"/>
      <b val="1"/>
      <color rgb="FF991B1B"/>
      <sz val="10"/>
    </font>
    <font>
      <name val="Calibri"/>
      <charset val="1"/>
      <family val="0"/>
      <color rgb="FF64748B"/>
      <sz val="9"/>
    </font>
    <font>
      <name val="Calibri"/>
      <charset val="1"/>
      <family val="0"/>
      <b val="1"/>
      <color rgb="FF0F766E"/>
      <sz val="10"/>
    </font>
    <font>
      <name val="Calibri"/>
      <charset val="1"/>
      <family val="0"/>
      <b val="1"/>
      <color rgb="FF6D28D9"/>
      <sz val="10"/>
    </font>
    <font>
      <name val="Calibri"/>
      <charset val="1"/>
      <family val="0"/>
      <b val="1"/>
      <color rgb="FF0369A1"/>
      <sz val="10"/>
    </font>
    <font>
      <name val="Calibri"/>
      <charset val="1"/>
      <family val="0"/>
      <b val="1"/>
      <color rgb="FF92400E"/>
      <sz val="11"/>
    </font>
    <font>
      <name val="Calibri"/>
      <charset val="1"/>
      <family val="0"/>
      <b val="1"/>
      <color rgb="FF0369A1"/>
      <sz val="11"/>
    </font>
    <font>
      <name val="Georgia"/>
      <b val="1"/>
      <color rgb="000F172A"/>
      <sz val="13"/>
    </font>
    <font>
      <name val="Calibri"/>
      <b val="1"/>
      <color rgb="00FFFFFF"/>
      <sz val="11"/>
    </font>
    <font>
      <name val="Calibri"/>
      <b val="1"/>
      <color rgb="000369A1"/>
      <sz val="10"/>
      <u val="single"/>
    </font>
    <font>
      <name val="Calibri"/>
      <b val="1"/>
      <color rgb="000F172A"/>
      <sz val="10"/>
    </font>
    <font>
      <name val="Calibri"/>
      <color rgb="00334155"/>
      <sz val="10"/>
    </font>
  </fonts>
  <fills count="26">
    <fill>
      <patternFill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F1F5F9"/>
        <bgColor rgb="FFF8FAFC"/>
      </patternFill>
    </fill>
    <fill>
      <patternFill patternType="solid">
        <fgColor rgb="FF0F766E"/>
        <bgColor rgb="FF15803D"/>
      </patternFill>
    </fill>
    <fill>
      <patternFill patternType="solid">
        <fgColor rgb="FFF8FAFC"/>
        <bgColor rgb="FFFFFFFF"/>
      </patternFill>
    </fill>
    <fill>
      <patternFill patternType="solid">
        <fgColor rgb="FFB45309"/>
        <bgColor rgb="FF92400E"/>
      </patternFill>
    </fill>
    <fill>
      <patternFill patternType="solid">
        <fgColor rgb="FF6D28D9"/>
        <bgColor rgb="FF7C3AED"/>
      </patternFill>
    </fill>
    <fill>
      <patternFill patternType="solid">
        <fgColor rgb="FF0369A1"/>
        <bgColor rgb="FF0F766E"/>
      </patternFill>
    </fill>
    <fill>
      <patternFill patternType="solid">
        <fgColor rgb="FFDCFCE7"/>
        <bgColor rgb="FFCCFBF1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EDE9FE"/>
      </patternFill>
    </fill>
    <fill>
      <patternFill patternType="solid">
        <fgColor rgb="FF15803D"/>
        <bgColor rgb="FF0F766E"/>
      </patternFill>
    </fill>
    <fill>
      <patternFill patternType="solid">
        <fgColor rgb="FF92400E"/>
        <bgColor rgb="FFB45309"/>
      </patternFill>
    </fill>
    <fill>
      <patternFill patternType="solid">
        <fgColor rgb="FF64748B"/>
        <bgColor rgb="FF4F81BD"/>
      </patternFill>
    </fill>
    <fill>
      <patternFill patternType="solid">
        <fgColor rgb="FFCCFBF1"/>
        <bgColor rgb="FFDCFCE7"/>
      </patternFill>
    </fill>
    <fill>
      <patternFill patternType="solid">
        <fgColor rgb="FFEDE9FE"/>
        <bgColor rgb="FFF1F5F9"/>
      </patternFill>
    </fill>
    <fill>
      <patternFill patternType="solid">
        <fgColor rgb="FFE0F2FE"/>
        <bgColor rgb="FFF1F5F9"/>
      </patternFill>
    </fill>
    <fill>
      <patternFill patternType="solid">
        <fgColor rgb="FF991B1B"/>
        <bgColor rgb="FF800000"/>
      </patternFill>
    </fill>
    <fill>
      <patternFill patternType="solid">
        <fgColor rgb="FF7C3AED"/>
        <bgColor rgb="FF6D28D9"/>
      </patternFill>
    </fill>
    <fill>
      <patternFill patternType="solid">
        <fgColor rgb="FF334155"/>
        <bgColor rgb="FF333300"/>
      </patternFill>
    </fill>
    <fill>
      <patternFill patternType="solid">
        <fgColor rgb="00F1F5F9"/>
      </patternFill>
    </fill>
    <fill>
      <patternFill patternType="solid">
        <fgColor rgb="00BE185D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8FAFC"/>
      </patternFill>
    </fill>
  </fills>
  <borders count="9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medium">
        <color rgb="FF0F172A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3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top" wrapText="1"/>
    </xf>
    <xf numFmtId="0" fontId="13" fillId="4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general" vertical="top" wrapText="1"/>
    </xf>
    <xf numFmtId="0" fontId="14" fillId="5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13" fillId="6" borderId="1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general" vertical="top" wrapText="1"/>
    </xf>
    <xf numFmtId="0" fontId="7" fillId="0" borderId="2" applyAlignment="1" pivotButton="0" quotePrefix="0" xfId="0">
      <alignment horizontal="general" vertical="top" wrapText="1"/>
    </xf>
    <xf numFmtId="0" fontId="13" fillId="7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general" vertical="top" wrapText="1"/>
    </xf>
    <xf numFmtId="0" fontId="17" fillId="10" borderId="1" applyAlignment="1" pivotButton="0" quotePrefix="0" xfId="0">
      <alignment horizontal="general" vertical="top" wrapText="1"/>
    </xf>
    <xf numFmtId="0" fontId="18" fillId="11" borderId="1" applyAlignment="1" pivotButton="0" quotePrefix="0" xfId="0">
      <alignment horizontal="general" vertical="top" wrapText="1"/>
    </xf>
    <xf numFmtId="0" fontId="13" fillId="1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left" vertical="center"/>
    </xf>
    <xf numFmtId="0" fontId="19" fillId="3" borderId="0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20" fillId="15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general" vertical="top" wrapText="1"/>
    </xf>
    <xf numFmtId="0" fontId="21" fillId="16" borderId="1" applyAlignment="1" pivotButton="0" quotePrefix="0" xfId="0">
      <alignment horizontal="general" vertical="top" wrapText="1"/>
    </xf>
    <xf numFmtId="0" fontId="22" fillId="17" borderId="1" applyAlignment="1" pivotButton="0" quotePrefix="0" xfId="0">
      <alignment horizontal="general" vertical="top" wrapText="1"/>
    </xf>
    <xf numFmtId="0" fontId="8" fillId="3" borderId="3" applyAlignment="1" pivotButton="0" quotePrefix="0" xfId="0">
      <alignment horizontal="left" vertical="center"/>
    </xf>
    <xf numFmtId="0" fontId="19" fillId="3" borderId="3" applyAlignment="1" pivotButton="0" quotePrefix="0" xfId="0">
      <alignment horizontal="general" vertical="top" wrapText="1"/>
    </xf>
    <xf numFmtId="0" fontId="19" fillId="0" borderId="1" applyAlignment="1" pivotButton="0" quotePrefix="0" xfId="0">
      <alignment horizontal="center" vertical="center" wrapText="1"/>
    </xf>
    <xf numFmtId="0" fontId="23" fillId="1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general" vertical="top" wrapText="1"/>
    </xf>
    <xf numFmtId="0" fontId="24" fillId="17" borderId="1" applyAlignment="1" pivotButton="0" quotePrefix="0" xfId="0">
      <alignment horizontal="center" vertical="center" wrapText="1"/>
    </xf>
    <xf numFmtId="0" fontId="13" fillId="18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3" fillId="19" borderId="1" applyAlignment="1" pivotButton="0" quotePrefix="0" xfId="0">
      <alignment horizontal="center" vertical="center" wrapText="1"/>
    </xf>
    <xf numFmtId="0" fontId="13" fillId="2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top" wrapText="1"/>
    </xf>
    <xf numFmtId="0" fontId="13" fillId="4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general" vertical="top" wrapText="1"/>
    </xf>
    <xf numFmtId="0" fontId="14" fillId="5" borderId="1" applyAlignment="1" pivotButton="0" quotePrefix="0" xfId="0">
      <alignment horizontal="general" vertical="top" wrapText="1"/>
    </xf>
    <xf numFmtId="0" fontId="7" fillId="5" borderId="1" applyAlignment="1" pivotButton="0" quotePrefix="0" xfId="0">
      <alignment horizontal="general" vertical="top" wrapText="1"/>
    </xf>
    <xf numFmtId="0" fontId="13" fillId="6" borderId="1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general" vertical="top" wrapText="1"/>
    </xf>
    <xf numFmtId="0" fontId="7" fillId="0" borderId="2" applyAlignment="1" pivotButton="0" quotePrefix="0" xfId="0">
      <alignment horizontal="general" vertical="top" wrapText="1"/>
    </xf>
    <xf numFmtId="0" fontId="13" fillId="7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general" vertical="top" wrapText="1"/>
    </xf>
    <xf numFmtId="0" fontId="17" fillId="10" borderId="1" applyAlignment="1" pivotButton="0" quotePrefix="0" xfId="0">
      <alignment horizontal="general" vertical="top" wrapText="1"/>
    </xf>
    <xf numFmtId="0" fontId="18" fillId="11" borderId="1" applyAlignment="1" pivotButton="0" quotePrefix="0" xfId="0">
      <alignment horizontal="general" vertical="top" wrapText="1"/>
    </xf>
    <xf numFmtId="0" fontId="13" fillId="12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left" vertical="center"/>
    </xf>
    <xf numFmtId="0" fontId="19" fillId="3" borderId="0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20" fillId="15" borderId="1" applyAlignment="1" pivotButton="0" quotePrefix="0" xfId="0">
      <alignment horizontal="general" vertical="top" wrapText="1"/>
    </xf>
    <xf numFmtId="0" fontId="10" fillId="5" borderId="1" applyAlignment="1" pivotButton="0" quotePrefix="0" xfId="0">
      <alignment horizontal="general" vertical="top" wrapText="1"/>
    </xf>
    <xf numFmtId="0" fontId="21" fillId="16" borderId="1" applyAlignment="1" pivotButton="0" quotePrefix="0" xfId="0">
      <alignment horizontal="general" vertical="top" wrapText="1"/>
    </xf>
    <xf numFmtId="0" fontId="22" fillId="17" borderId="1" applyAlignment="1" pivotButton="0" quotePrefix="0" xfId="0">
      <alignment horizontal="general" vertical="top" wrapText="1"/>
    </xf>
    <xf numFmtId="0" fontId="8" fillId="3" borderId="3" applyAlignment="1" pivotButton="0" quotePrefix="0" xfId="0">
      <alignment horizontal="left" vertical="center"/>
    </xf>
    <xf numFmtId="0" fontId="19" fillId="3" borderId="3" applyAlignment="1" pivotButton="0" quotePrefix="0" xfId="0">
      <alignment horizontal="general" vertical="top" wrapText="1"/>
    </xf>
    <xf numFmtId="0" fontId="19" fillId="0" borderId="1" applyAlignment="1" pivotButton="0" quotePrefix="0" xfId="0">
      <alignment horizontal="center" vertical="center" wrapText="1"/>
    </xf>
    <xf numFmtId="0" fontId="23" fillId="1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general" vertical="top" wrapText="1"/>
    </xf>
    <xf numFmtId="0" fontId="24" fillId="17" borderId="1" applyAlignment="1" pivotButton="0" quotePrefix="0" xfId="0">
      <alignment horizontal="center" vertical="center" wrapText="1"/>
    </xf>
    <xf numFmtId="0" fontId="13" fillId="18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3" fillId="19" borderId="1" applyAlignment="1" pivotButton="0" quotePrefix="0" xfId="0">
      <alignment horizontal="center" vertical="center" wrapText="1"/>
    </xf>
    <xf numFmtId="0" fontId="13" fillId="2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general" vertical="top" wrapText="1"/>
    </xf>
    <xf numFmtId="0" fontId="25" fillId="21" borderId="8" applyAlignment="1" pivotButton="0" quotePrefix="0" xfId="0">
      <alignment horizontal="left" vertical="center"/>
    </xf>
    <xf numFmtId="0" fontId="26" fillId="22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vertical="top" wrapText="1"/>
    </xf>
    <xf numFmtId="0" fontId="28" fillId="0" borderId="8" applyAlignment="1" pivotButton="0" quotePrefix="0" xfId="0">
      <alignment vertical="top" wrapText="1"/>
    </xf>
    <xf numFmtId="0" fontId="29" fillId="0" borderId="8" applyAlignment="1" pivotButton="0" quotePrefix="0" xfId="0">
      <alignment vertical="top" wrapText="1"/>
    </xf>
    <xf numFmtId="0" fontId="29" fillId="0" borderId="8" applyAlignment="1" pivotButton="0" quotePrefix="0" xfId="0">
      <alignment horizontal="center" vertical="center" wrapText="1"/>
    </xf>
    <xf numFmtId="0" fontId="29" fillId="23" borderId="8" applyAlignment="1" pivotButton="0" quotePrefix="0" xfId="0">
      <alignment horizontal="center" vertical="center" wrapText="1"/>
    </xf>
    <xf numFmtId="0" fontId="29" fillId="24" borderId="8" applyAlignment="1" pivotButton="0" quotePrefix="0" xfId="0">
      <alignment horizontal="center" vertical="center" wrapText="1"/>
    </xf>
    <xf numFmtId="0" fontId="27" fillId="25" borderId="8" applyAlignment="1" pivotButton="0" quotePrefix="0" xfId="0">
      <alignment vertical="top" wrapText="1"/>
    </xf>
    <xf numFmtId="0" fontId="28" fillId="25" borderId="8" applyAlignment="1" pivotButton="0" quotePrefix="0" xfId="0">
      <alignment vertical="top" wrapText="1"/>
    </xf>
    <xf numFmtId="0" fontId="29" fillId="25" borderId="8" applyAlignment="1" pivotButton="0" quotePrefix="0" xfId="0">
      <alignment vertical="top" wrapText="1"/>
    </xf>
    <xf numFmtId="0" fontId="29" fillId="25" borderId="8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1">
    <dxf>
      <fill>
        <patternFill patternType="solid">
          <fgColor rgb="FF0F766E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369A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34155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E0F2FE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166534"/>
          <bgColor rgb="FF000000"/>
        </patternFill>
      </fill>
    </dxf>
    <dxf>
      <fill>
        <patternFill patternType="solid">
          <fgColor rgb="FF92400E"/>
          <bgColor rgb="FF000000"/>
        </patternFill>
      </fill>
    </dxf>
    <dxf>
      <font>
        <name val="Calibri"/>
        <charset val="1"/>
        <family val="0"/>
        <b val="1"/>
        <color rgb="FF92400E"/>
        <sz val="10"/>
      </font>
      <fill>
        <patternFill>
          <bgColor rgb="FFFEF3C7"/>
        </patternFill>
      </fill>
    </dxf>
    <dxf>
      <font>
        <name val="Calibri"/>
        <charset val="1"/>
        <family val="0"/>
        <b val="1"/>
        <color rgb="FF166534"/>
        <sz val="10"/>
      </font>
      <fill>
        <patternFill>
          <bgColor rgb="FFDCFCE7"/>
        </patternFill>
      </fill>
    </dxf>
    <dxf>
      <font>
        <name val="Calibri"/>
        <charset val="1"/>
        <family val="0"/>
        <b val="1"/>
        <color rgb="FF0369A1"/>
        <sz val="10"/>
      </font>
      <fill>
        <patternFill>
          <bgColor rgb="FFE0F2FE"/>
        </patternFill>
      </fill>
    </dxf>
    <dxf>
      <fill>
        <patternFill patternType="solid">
          <fgColor rgb="FF6D28D9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991B1B"/>
          <bgColor rgb="FF000000"/>
        </patternFill>
      </fill>
    </dxf>
    <dxf>
      <font>
        <name val="Calibri"/>
        <charset val="1"/>
        <family val="0"/>
        <b val="1"/>
        <color rgb="FF991B1B"/>
        <sz val="10"/>
      </font>
      <fill>
        <patternFill>
          <bgColor rgb="FFFEE2E2"/>
        </patternFill>
      </fill>
    </dxf>
    <dxf>
      <fill>
        <patternFill patternType="solid">
          <fgColor rgb="FF15803D"/>
          <bgColor rgb="FF000000"/>
        </patternFill>
      </fill>
    </dxf>
    <dxf>
      <fill>
        <patternFill patternType="solid">
          <fgColor rgb="FF0F172A"/>
          <bgColor rgb="FF000000"/>
        </patternFill>
      </fill>
    </dxf>
    <dxf>
      <fill>
        <patternFill patternType="solid">
          <fgColor rgb="FFF1F5F9"/>
          <bgColor rgb="FF000000"/>
        </patternFill>
      </fill>
    </dxf>
    <dxf>
      <fill>
        <patternFill patternType="solid">
          <fgColor rgb="FF64748B"/>
          <bgColor rgb="FF000000"/>
        </patternFill>
      </fill>
    </dxf>
    <dxf>
      <font>
        <name val="Calibri"/>
        <charset val="1"/>
        <family val="0"/>
        <color rgb="FF64748B"/>
        <sz val="9"/>
      </font>
      <fill>
        <patternFill>
          <bgColor rgb="FFF1F5F9"/>
        </patternFill>
      </fill>
    </dxf>
    <dxf>
      <fill>
        <patternFill patternType="solid">
          <fgColor rgb="FFCCFBF1"/>
          <bgColor rgb="FF000000"/>
        </patternFill>
      </fill>
    </dxf>
    <dxf>
      <fill>
        <patternFill patternType="solid">
          <fgColor rgb="FFEDE9FE"/>
          <bgColor rgb="FF000000"/>
        </patternFill>
      </fill>
    </dxf>
    <dxf>
      <fill>
        <patternFill patternType="solid">
          <fgColor rgb="FF7C3AED"/>
          <bgColor rgb="FF000000"/>
        </patternFill>
      </fill>
    </dxf>
    <dxf>
      <font>
        <name val="Calibri"/>
        <b val="1"/>
        <color rgb="00166534"/>
        <sz val="10"/>
      </font>
      <fill>
        <patternFill patternType="solid">
          <fgColor rgb="00DCFCE7"/>
        </patternFill>
      </fill>
    </dxf>
    <dxf>
      <font>
        <name val="Calibri"/>
        <b val="1"/>
        <color rgb="00991B1B"/>
        <sz val="10"/>
      </font>
      <fill>
        <patternFill patternType="solid">
          <fgColor rgb="00FEE2E2"/>
        </patternFill>
      </fill>
    </dxf>
    <dxf>
      <font>
        <name val="Calibri"/>
        <b val="1"/>
        <color rgb="0092400E"/>
        <sz val="10"/>
      </font>
      <fill>
        <patternFill patternType="solid">
          <fgColor rgb="00FEF3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5803D"/>
      <rgbColor rgb="FF000080"/>
      <rgbColor rgb="FF808000"/>
      <rgbColor rgb="FF800080"/>
      <rgbColor rgb="FF0F766E"/>
      <rgbColor rgb="FFD9D9D9"/>
      <rgbColor rgb="FF4F81BD"/>
      <rgbColor rgb="FF9999FF"/>
      <rgbColor rgb="FFB45309"/>
      <rgbColor rgb="FFFEF3C7"/>
      <rgbColor rgb="FFCCFBF1"/>
      <rgbColor rgb="FF660066"/>
      <rgbColor rgb="FFFF8080"/>
      <rgbColor rgb="FF0369A1"/>
      <rgbColor rgb="FFD1D5DB"/>
      <rgbColor rgb="FF000080"/>
      <rgbColor rgb="FFFF00FF"/>
      <rgbColor rgb="FFFFFF00"/>
      <rgbColor rgb="FF00FFFF"/>
      <rgbColor rgb="FF800080"/>
      <rgbColor rgb="FF800000"/>
      <rgbColor rgb="FF166534"/>
      <rgbColor rgb="FF0000FF"/>
      <rgbColor rgb="FF00CCFF"/>
      <rgbColor rgb="FFDCFCE7"/>
      <rgbColor rgb="FFE0F2FE"/>
      <rgbColor rgb="FFF8FAFC"/>
      <rgbColor rgb="FFEDE9FE"/>
      <rgbColor rgb="FFF1F5F9"/>
      <rgbColor rgb="FFCC99FF"/>
      <rgbColor rgb="FFFEE2E2"/>
      <rgbColor rgb="FF3366FF"/>
      <rgbColor rgb="FF33CCCC"/>
      <rgbColor rgb="FF99CC00"/>
      <rgbColor rgb="FFFFCC00"/>
      <rgbColor rgb="FFF59E0B"/>
      <rgbColor rgb="FFEF4444"/>
      <rgbColor rgb="FF64748B"/>
      <rgbColor rgb="FF969696"/>
      <rgbColor rgb="FF003366"/>
      <rgbColor rgb="FF22C55E"/>
      <rgbColor rgb="FF0F172A"/>
      <rgbColor rgb="FF333300"/>
      <rgbColor rgb="FF92400E"/>
      <rgbColor rgb="FF7C3AED"/>
      <rgbColor rgb="FF6D28D9"/>
      <rgbColor rgb="FF33415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Field Migration Status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22c55e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59e0b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f4444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dLbl>
              <idx val="2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/>
                  </a:r>
                </a:p>
              </txPr>
              <dLblPos val="bestFit"/>
              <showLegendKey val="1"/>
              <showVal val="1"/>
              <showCatName val="1"/>
              <showSerName val="1"/>
              <showPercent val="1"/>
            </dLbl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/>
                </a:r>
              </a:p>
            </txPr>
            <dLblPos val="bestFit"/>
            <showLegendKey val="1"/>
            <showVal val="1"/>
            <showCatName val="1"/>
            <showSerName val="1"/>
            <showPercent val="1"/>
            <showLeaderLines val="1"/>
          </dLbls>
          <cat>
            <strRef>
              <f>Overview!$A$18:$A$20</f>
              <strCache>
                <ptCount val="3"/>
                <pt idx="0">
                  <v>ok</v>
                </pt>
                <pt idx="1">
                  <v>TBI</v>
                </pt>
                <pt idx="2">
                  <v>Gap</v>
                </pt>
              </strCache>
            </strRef>
          </cat>
          <val>
            <numRef>
              <f>Overview!$B$18:$B$20</f>
              <numCache>
                <formatCode>General</formatCode>
                <ptCount val="3"/>
                <pt idx="0">
                  <v>62</v>
                </pt>
                <pt idx="1">
                  <v>7</v>
                </pt>
                <pt idx="2">
                  <v>4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3</col>
      <colOff>0</colOff>
      <row>15</row>
      <rowOff>78120</rowOff>
    </from>
    <to>
      <col>8</col>
      <colOff>105480</colOff>
      <row>33</row>
      <rowOff>41760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0F172A"/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54" min="1" max="1"/>
    <col width="14" customWidth="1" style="54" min="2" max="10"/>
  </cols>
  <sheetData>
    <row r="1" ht="49.5" customHeight="1" s="55">
      <c r="A1" s="56" t="inlineStr">
        <is>
          <t>BAForge</t>
        </is>
      </c>
      <c r="B1" s="57" t="n"/>
      <c r="C1" s="57" t="n"/>
      <c r="D1" s="57" t="n"/>
      <c r="E1" s="57" t="n"/>
      <c r="F1" s="57" t="n"/>
      <c r="G1" s="57" t="n"/>
      <c r="H1" s="57" t="n"/>
      <c r="I1" s="58" t="n"/>
    </row>
    <row r="2" ht="34.5" customHeight="1" s="55">
      <c r="A2" s="59" t="inlineStr">
        <is>
          <t>IMMOGEST Financial Hub Integration</t>
        </is>
      </c>
      <c r="B2" s="57" t="n"/>
      <c r="C2" s="57" t="n"/>
      <c r="D2" s="57" t="n"/>
      <c r="E2" s="57" t="n"/>
      <c r="F2" s="57" t="n"/>
      <c r="G2" s="57" t="n"/>
      <c r="H2" s="57" t="n"/>
      <c r="I2" s="58" t="n"/>
    </row>
    <row r="4" ht="15" customHeight="1" s="55">
      <c r="A4" s="60" t="inlineStr">
        <is>
          <t>Domain</t>
        </is>
      </c>
      <c r="B4" s="61" t="inlineStr">
        <is>
          <t>EU Institutions</t>
        </is>
      </c>
      <c r="C4" s="57" t="n"/>
      <c r="D4" s="58" t="n"/>
    </row>
    <row r="5" ht="23.85" customHeight="1" s="55">
      <c r="A5" s="60" t="inlineStr">
        <is>
          <t>Description</t>
        </is>
      </c>
      <c r="B5" s="61" t="inlineStr">
        <is>
          <t>ABAC-to-SUMMA migration for EEAS real estate management across 140+ delegations.</t>
        </is>
      </c>
      <c r="C5" s="57" t="n"/>
      <c r="D5" s="58" t="n"/>
    </row>
    <row r="6" ht="15" customHeight="1" s="55">
      <c r="A6" s="60" t="inlineStr">
        <is>
          <t>Version</t>
        </is>
      </c>
      <c r="B6" s="61" t="inlineStr">
        <is>
          <t>1.0.0</t>
        </is>
      </c>
      <c r="C6" s="57" t="n"/>
      <c r="D6" s="58" t="n"/>
    </row>
    <row r="7" ht="15" customHeight="1" s="55">
      <c r="A7" s="60" t="inlineStr">
        <is>
          <t>Author</t>
        </is>
      </c>
      <c r="B7" s="61" t="inlineStr">
        <is>
          <t>SFL Consulting — Stéphane Lefort</t>
        </is>
      </c>
      <c r="C7" s="57" t="n"/>
      <c r="D7" s="58" t="n"/>
    </row>
    <row r="8" ht="15" customHeight="1" s="55">
      <c r="A8" s="60" t="inlineStr">
        <is>
          <t>Generated by</t>
        </is>
      </c>
      <c r="B8" s="61" t="inlineStr">
        <is>
          <t>BAForge v3.1</t>
        </is>
      </c>
      <c r="C8" s="57" t="n"/>
      <c r="D8" s="58" t="n"/>
    </row>
    <row r="9" ht="15" customHeight="1" s="55">
      <c r="A9" s="60" t="n"/>
      <c r="B9" s="61" t="n"/>
      <c r="C9" s="57" t="n"/>
      <c r="D9" s="58" t="n"/>
    </row>
    <row r="11" ht="27.75" customHeight="1" s="55">
      <c r="A11" s="62" t="inlineStr">
        <is>
          <t>PROJECT DASHBOARD</t>
        </is>
      </c>
    </row>
    <row r="12" ht="45" customHeight="1" s="55">
      <c r="A12" s="63" t="n">
        <v>8</v>
      </c>
      <c r="B12" s="58" t="n"/>
      <c r="C12" s="63" t="n">
        <v>3</v>
      </c>
      <c r="D12" s="58" t="n"/>
      <c r="E12" s="63" t="n">
        <v>10</v>
      </c>
      <c r="F12" s="58" t="n"/>
      <c r="G12" s="63" t="n">
        <v>3</v>
      </c>
      <c r="H12" s="58" t="n"/>
      <c r="I12" s="63" t="n">
        <v>73</v>
      </c>
      <c r="J12" s="58" t="n"/>
    </row>
    <row r="13" ht="15" customHeight="1" s="55">
      <c r="A13" s="64" t="inlineStr">
        <is>
          <t>Actors</t>
        </is>
      </c>
      <c r="B13" s="58" t="n"/>
      <c r="C13" s="64" t="inlineStr">
        <is>
          <t>Workflows</t>
        </is>
      </c>
      <c r="D13" s="58" t="n"/>
      <c r="E13" s="64" t="inlineStr">
        <is>
          <t>Business Rules</t>
        </is>
      </c>
      <c r="F13" s="58" t="n"/>
      <c r="G13" s="64" t="inlineStr">
        <is>
          <t>Entities</t>
        </is>
      </c>
      <c r="H13" s="58" t="n"/>
      <c r="I13" s="64" t="inlineStr">
        <is>
          <t>Total Fields</t>
        </is>
      </c>
      <c r="J13" s="58" t="n"/>
    </row>
    <row r="14" ht="45" customHeight="1" s="55">
      <c r="A14" s="63" t="n">
        <v>5</v>
      </c>
      <c r="B14" s="58" t="n"/>
      <c r="C14" s="63" t="n">
        <v>8</v>
      </c>
      <c r="D14" s="58" t="n"/>
      <c r="E14" s="63" t="n">
        <v>10</v>
      </c>
      <c r="F14" s="58" t="n"/>
      <c r="G14" s="65" t="n">
        <v>7</v>
      </c>
      <c r="H14" s="58" t="n"/>
      <c r="I14" s="65" t="n">
        <v>4</v>
      </c>
      <c r="J14" s="58" t="n"/>
    </row>
    <row r="15" ht="15" customHeight="1" s="55">
      <c r="A15" s="64" t="inlineStr">
        <is>
          <t>API Endpoints</t>
        </is>
      </c>
      <c r="B15" s="58" t="n"/>
      <c r="C15" s="64" t="inlineStr">
        <is>
          <t>Requirements</t>
        </is>
      </c>
      <c r="D15" s="58" t="n"/>
      <c r="E15" s="64" t="inlineStr">
        <is>
          <t>Open Questions</t>
        </is>
      </c>
      <c r="F15" s="58" t="n"/>
      <c r="G15" s="64" t="inlineStr">
        <is>
          <t>TBI Fields</t>
        </is>
      </c>
      <c r="H15" s="58" t="n"/>
      <c r="I15" s="64" t="inlineStr">
        <is>
          <t>Gap Fields</t>
        </is>
      </c>
      <c r="J15" s="58" t="n"/>
    </row>
    <row r="17" ht="31.3" customHeight="1" s="55">
      <c r="A17" s="62" t="inlineStr">
        <is>
          <t>Migration Status</t>
        </is>
      </c>
    </row>
    <row r="18" ht="15" customHeight="1" s="55">
      <c r="A18" s="66" t="inlineStr">
        <is>
          <t>ok</t>
        </is>
      </c>
      <c r="B18" s="61" t="n">
        <v>62</v>
      </c>
    </row>
    <row r="19" ht="15" customHeight="1" s="55">
      <c r="A19" s="66" t="inlineStr">
        <is>
          <t>TBI</t>
        </is>
      </c>
      <c r="B19" s="61" t="n">
        <v>7</v>
      </c>
    </row>
    <row r="20" ht="15" customHeight="1" s="55">
      <c r="A20" s="66" t="inlineStr">
        <is>
          <t>Gap</t>
        </is>
      </c>
      <c r="B20" s="61" t="n">
        <v>4</v>
      </c>
    </row>
  </sheetData>
  <mergeCells count="29">
    <mergeCell ref="E12:F12"/>
    <mergeCell ref="G12:H12"/>
    <mergeCell ref="A15:B15"/>
    <mergeCell ref="C15:D15"/>
    <mergeCell ref="I15:J15"/>
    <mergeCell ref="B8:D8"/>
    <mergeCell ref="C14:D14"/>
    <mergeCell ref="E14:F14"/>
    <mergeCell ref="A2:I2"/>
    <mergeCell ref="B9:D9"/>
    <mergeCell ref="E13:F13"/>
    <mergeCell ref="G13:H13"/>
    <mergeCell ref="B6:D6"/>
    <mergeCell ref="A12:B12"/>
    <mergeCell ref="C12:D12"/>
    <mergeCell ref="I12:J12"/>
    <mergeCell ref="B5:D5"/>
    <mergeCell ref="E15:F15"/>
    <mergeCell ref="G15:H15"/>
    <mergeCell ref="B4:D4"/>
    <mergeCell ref="A14:B14"/>
    <mergeCell ref="G14:H14"/>
    <mergeCell ref="I14:J14"/>
    <mergeCell ref="B7:D7"/>
    <mergeCell ref="A11:I11"/>
    <mergeCell ref="A1:I1"/>
    <mergeCell ref="A13:B13"/>
    <mergeCell ref="C13:D13"/>
    <mergeCell ref="I13:J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FF0F766E"/>
    <outlinePr summaryBelow="1" summaryRight="1"/>
    <pageSetUpPr fitToPage="0"/>
  </sheetPr>
  <dimension ref="A1:F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54" min="1" max="1"/>
    <col width="24" customWidth="1" style="54" min="2" max="2"/>
    <col width="18" customWidth="1" style="54" min="3" max="3"/>
    <col width="45" customWidth="1" style="54" min="4" max="4"/>
    <col width="8" customWidth="1" style="54" min="5" max="5"/>
    <col width="30" customWidth="1" style="54" min="6" max="6"/>
  </cols>
  <sheetData>
    <row r="1" ht="31.5" customHeight="1" s="55">
      <c r="A1" s="67" t="inlineStr">
        <is>
          <t>ID</t>
        </is>
      </c>
      <c r="B1" s="67" t="inlineStr">
        <is>
          <t>Name</t>
        </is>
      </c>
      <c r="C1" s="67" t="inlineStr">
        <is>
          <t>Type</t>
        </is>
      </c>
      <c r="D1" s="67" t="inlineStr">
        <is>
          <t>Description</t>
        </is>
      </c>
      <c r="E1" s="67" t="inlineStr">
        <is>
          <t>CRUD</t>
        </is>
      </c>
      <c r="F1" s="67" t="inlineStr">
        <is>
          <t>Permissions</t>
        </is>
      </c>
    </row>
    <row r="2" ht="21.75" customHeight="1" s="55">
      <c r="A2" s="68" t="inlineStr">
        <is>
          <t>AC001</t>
        </is>
      </c>
      <c r="B2" s="61" t="inlineStr">
        <is>
          <t>HQ User Administrator</t>
        </is>
      </c>
      <c r="C2" s="61" t="inlineStr">
        <is>
          <t>Primary Actor</t>
        </is>
      </c>
      <c r="D2" s="61" t="inlineStr">
        <is>
          <t>Full system administration rights and user role management across all delegations</t>
        </is>
      </c>
      <c r="E2" s="61" t="inlineStr">
        <is>
          <t>CRUD</t>
        </is>
      </c>
      <c r="F2" s="61" t="inlineStr">
        <is>
          <t>All delegations - user management</t>
        </is>
      </c>
    </row>
    <row r="3" ht="21.75" customHeight="1" s="55">
      <c r="A3" s="69" t="inlineStr">
        <is>
          <t>AC002</t>
        </is>
      </c>
      <c r="B3" s="70" t="inlineStr">
        <is>
          <t>HQ Administrator</t>
        </is>
      </c>
      <c r="C3" s="70" t="inlineStr">
        <is>
          <t>Primary Actor</t>
        </is>
      </c>
      <c r="D3" s="70" t="inlineStr">
        <is>
          <t>Manage all real estate data with access to all delegations</t>
        </is>
      </c>
      <c r="E3" s="70" t="inlineStr">
        <is>
          <t>CRUD</t>
        </is>
      </c>
      <c r="F3" s="70" t="inlineStr">
        <is>
          <t>All delegations - full data access</t>
        </is>
      </c>
    </row>
    <row r="4" ht="21.75" customHeight="1" s="55">
      <c r="A4" s="68" t="inlineStr">
        <is>
          <t>AC003</t>
        </is>
      </c>
      <c r="B4" s="61" t="inlineStr">
        <is>
          <t>Delegation Administrator</t>
        </is>
      </c>
      <c r="C4" s="61" t="inlineStr">
        <is>
          <t>Primary Actor</t>
        </is>
      </c>
      <c r="D4" s="61" t="inlineStr">
        <is>
          <t>Manage delegation-specific real estate data and local user administration</t>
        </is>
      </c>
      <c r="E4" s="61" t="inlineStr">
        <is>
          <t>CRUD</t>
        </is>
      </c>
      <c r="F4" s="61" t="inlineStr">
        <is>
          <t>Own delegation only</t>
        </is>
      </c>
    </row>
    <row r="5" ht="21.75" customHeight="1" s="55">
      <c r="A5" s="69" t="inlineStr">
        <is>
          <t>AC004</t>
        </is>
      </c>
      <c r="B5" s="70" t="inlineStr">
        <is>
          <t>Delegation Staff (DAS)</t>
        </is>
      </c>
      <c r="C5" s="70" t="inlineStr">
        <is>
          <t>Primary Actor</t>
        </is>
      </c>
      <c r="D5" s="70" t="inlineStr">
        <is>
          <t>Create and manage contracts - primary IMMOGEST user for day-to-day operations</t>
        </is>
      </c>
      <c r="E5" s="70" t="inlineStr">
        <is>
          <t>CRU</t>
        </is>
      </c>
      <c r="F5" s="70" t="inlineStr">
        <is>
          <t>Own delegation - contracts and buildings</t>
        </is>
      </c>
    </row>
    <row r="6" ht="21.75" customHeight="1" s="55">
      <c r="A6" s="68" t="inlineStr">
        <is>
          <t>AC005</t>
        </is>
      </c>
      <c r="B6" s="61" t="inlineStr">
        <is>
          <t>Financial Hub / SUMMA</t>
        </is>
      </c>
      <c r="C6" s="61" t="inlineStr">
        <is>
          <t>System Actor</t>
        </is>
      </c>
      <c r="D6" s="61" t="inlineStr">
        <is>
          <t>External financial system providing LCK/LEF/BAF data via REST APIs</t>
        </is>
      </c>
      <c r="E6" s="61" t="inlineStr">
        <is>
          <t>R</t>
        </is>
      </c>
      <c r="F6" s="61" t="inlineStr">
        <is>
          <t>Read-only via API - no direct DB access</t>
        </is>
      </c>
    </row>
    <row r="7" ht="21.75" customHeight="1" s="55">
      <c r="A7" s="69" t="inlineStr">
        <is>
          <t>AC006</t>
        </is>
      </c>
      <c r="B7" s="70" t="inlineStr">
        <is>
          <t>ABAC Legacy System</t>
        </is>
      </c>
      <c r="C7" s="70" t="inlineStr">
        <is>
          <t>System Actor</t>
        </is>
      </c>
      <c r="D7" s="70" t="inlineStr">
        <is>
          <t>Legacy accrual-based accounting system being replaced by SUMMA</t>
        </is>
      </c>
      <c r="E7" s="70" t="inlineStr">
        <is>
          <t>R</t>
        </is>
      </c>
      <c r="F7" s="70" t="inlineStr">
        <is>
          <t>Read-only during transition period</t>
        </is>
      </c>
    </row>
    <row r="8" ht="21.75" customHeight="1" s="55">
      <c r="A8" s="68" t="inlineStr">
        <is>
          <t>AC007</t>
        </is>
      </c>
      <c r="B8" s="61" t="inlineStr">
        <is>
          <t>Auto-Expiry Scheduler</t>
        </is>
      </c>
      <c r="C8" s="61" t="inlineStr">
        <is>
          <t>Timer/Scheduler</t>
        </is>
      </c>
      <c r="D8" s="61" t="inlineStr">
        <is>
          <t>Automated process running at 02:01 AM to expire contracts past end date</t>
        </is>
      </c>
      <c r="E8" s="61" t="inlineStr">
        <is>
          <t>U</t>
        </is>
      </c>
      <c r="F8" s="61" t="inlineStr">
        <is>
          <t>Contract status updates only</t>
        </is>
      </c>
    </row>
    <row r="9" ht="21.75" customHeight="1" s="55">
      <c r="A9" s="69" t="inlineStr">
        <is>
          <t>AC008</t>
        </is>
      </c>
      <c r="B9" s="70" t="inlineStr">
        <is>
          <t>Auto-Archive Scheduler</t>
        </is>
      </c>
      <c r="C9" s="70" t="inlineStr">
        <is>
          <t>Timer/Scheduler</t>
        </is>
      </c>
      <c r="D9" s="70" t="inlineStr">
        <is>
          <t>Automated process running at 03:01 AM to archive buildings with contracts expired &gt;12 months</t>
        </is>
      </c>
      <c r="E9" s="70" t="inlineStr">
        <is>
          <t>U</t>
        </is>
      </c>
      <c r="F9" s="70" t="inlineStr">
        <is>
          <t>Building status updates only</t>
        </is>
      </c>
    </row>
  </sheetData>
  <autoFilter ref="A1:F10"/>
  <dataValidations count="1">
    <dataValidation sqref="C2:C10" showDropDown="0" showInputMessage="0" showErrorMessage="0" allowBlank="1" errorTitle="Invalid value" error="Please select a valid option" type="list" errorStyle="stop" operator="between">
      <formula1>"Primary Actor,Secondary Actor,System Actor,External System,Timer/Scheduler"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B45309"/>
    <outlinePr summaryBelow="1" summaryRight="1"/>
    <pageSetUpPr fitToPage="0"/>
  </sheetPr>
  <dimension ref="A1:I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54" min="1" max="1"/>
    <col width="22" customWidth="1" style="54" min="2" max="2"/>
    <col width="30" customWidth="1" style="54" min="3" max="3"/>
    <col width="14" customWidth="1" style="54" min="4" max="4"/>
    <col width="10" customWidth="1" style="54" min="5" max="5"/>
    <col width="14" customWidth="1" style="54" min="6" max="6"/>
    <col width="40" customWidth="1" style="54" min="7" max="7"/>
    <col width="14" customWidth="1" style="54" min="8" max="8"/>
    <col width="24" customWidth="1" style="54" min="9" max="9"/>
  </cols>
  <sheetData>
    <row r="1" ht="31.5" customHeight="1" s="55">
      <c r="A1" s="71" t="inlineStr">
        <is>
          <t>WF_ID</t>
        </is>
      </c>
      <c r="B1" s="71" t="inlineStr">
        <is>
          <t>Name</t>
        </is>
      </c>
      <c r="C1" s="71" t="inlineStr">
        <is>
          <t>Trigger</t>
        </is>
      </c>
      <c r="D1" s="71" t="inlineStr">
        <is>
          <t>Owner</t>
        </is>
      </c>
      <c r="E1" s="71" t="inlineStr">
        <is>
          <t>Step_Num</t>
        </is>
      </c>
      <c r="F1" s="71" t="inlineStr">
        <is>
          <t>Step_Type</t>
        </is>
      </c>
      <c r="G1" s="71" t="inlineStr">
        <is>
          <t>Step_Description</t>
        </is>
      </c>
      <c r="H1" s="71" t="inlineStr">
        <is>
          <t>Step_Actor</t>
        </is>
      </c>
      <c r="I1" s="71" t="inlineStr">
        <is>
          <t>Step_Output</t>
        </is>
      </c>
    </row>
    <row r="2" ht="21.75" customHeight="1" s="55">
      <c r="A2" s="72" t="inlineStr">
        <is>
          <t>WF001</t>
        </is>
      </c>
      <c r="B2" s="73" t="inlineStr">
        <is>
          <t>Contract Creation</t>
        </is>
      </c>
      <c r="C2" s="73" t="inlineStr">
        <is>
          <t>User clicks Add Contract in building details</t>
        </is>
      </c>
      <c r="D2" s="73" t="inlineStr">
        <is>
          <t>DAS Staff</t>
        </is>
      </c>
      <c r="E2" s="73" t="inlineStr">
        <is>
          <t>1</t>
        </is>
      </c>
      <c r="F2" s="73" t="inlineStr">
        <is>
          <t>Start</t>
        </is>
      </c>
      <c r="G2" s="73" t="inlineStr">
        <is>
          <t>Navigate to Building Details &gt; Contracts tab</t>
        </is>
      </c>
      <c r="H2" s="72" t="inlineStr">
        <is>
          <t>AC004</t>
        </is>
      </c>
      <c r="I2" s="73" t="inlineStr">
        <is>
          <t>Contract form displayed</t>
        </is>
      </c>
    </row>
    <row r="3" ht="21.75" customHeight="1" s="55">
      <c r="A3" s="69" t="inlineStr">
        <is>
          <t>WF001</t>
        </is>
      </c>
      <c r="B3" s="70" t="inlineStr">
        <is>
          <t>Contract Creation</t>
        </is>
      </c>
      <c r="C3" s="70" t="inlineStr">
        <is>
          <t>User clicks Add Contract in building details</t>
        </is>
      </c>
      <c r="D3" s="70" t="inlineStr">
        <is>
          <t>DAS Staff</t>
        </is>
      </c>
      <c r="E3" s="70" t="inlineStr">
        <is>
          <t>2</t>
        </is>
      </c>
      <c r="F3" s="70" t="inlineStr">
        <is>
          <t>Action</t>
        </is>
      </c>
      <c r="G3" s="70" t="inlineStr">
        <is>
          <t>Select contract type (Art.5/Art.23/Purchase)</t>
        </is>
      </c>
      <c r="H3" s="69" t="inlineStr">
        <is>
          <t>AC004</t>
        </is>
      </c>
      <c r="I3" s="70" t="inlineStr">
        <is>
          <t>Type selected</t>
        </is>
      </c>
    </row>
    <row r="4" ht="21.75" customHeight="1" s="55">
      <c r="A4" s="68" t="inlineStr">
        <is>
          <t>WF001</t>
        </is>
      </c>
      <c r="B4" s="61" t="inlineStr">
        <is>
          <t>Contract Creation</t>
        </is>
      </c>
      <c r="C4" s="61" t="inlineStr">
        <is>
          <t>User clicks Add Contract in building details</t>
        </is>
      </c>
      <c r="D4" s="61" t="inlineStr">
        <is>
          <t>DAS Staff</t>
        </is>
      </c>
      <c r="E4" s="61" t="inlineStr">
        <is>
          <t>3</t>
        </is>
      </c>
      <c r="F4" s="61" t="inlineStr">
        <is>
          <t>Action</t>
        </is>
      </c>
      <c r="G4" s="61" t="inlineStr">
        <is>
          <t>Enter LCK reference (EAS.XXXXXX format)</t>
        </is>
      </c>
      <c r="H4" s="68" t="inlineStr">
        <is>
          <t>AC004</t>
        </is>
      </c>
      <c r="I4" s="61" t="inlineStr">
        <is>
          <t>LCK entered</t>
        </is>
      </c>
    </row>
    <row r="5" ht="21.75" customHeight="1" s="55">
      <c r="A5" s="69" t="inlineStr">
        <is>
          <t>WF001</t>
        </is>
      </c>
      <c r="B5" s="70" t="inlineStr">
        <is>
          <t>Contract Creation</t>
        </is>
      </c>
      <c r="C5" s="70" t="inlineStr">
        <is>
          <t>User clicks Add Contract in building details</t>
        </is>
      </c>
      <c r="D5" s="70" t="inlineStr">
        <is>
          <t>DAS Staff</t>
        </is>
      </c>
      <c r="E5" s="70" t="inlineStr">
        <is>
          <t>4</t>
        </is>
      </c>
      <c r="F5" s="70" t="inlineStr">
        <is>
          <t>Action</t>
        </is>
      </c>
      <c r="G5" s="70" t="inlineStr">
        <is>
          <t>Click Pull LCK button</t>
        </is>
      </c>
      <c r="H5" s="69" t="inlineStr">
        <is>
          <t>AC004</t>
        </is>
      </c>
      <c r="I5" s="70" t="inlineStr">
        <is>
          <t>API call triggered</t>
        </is>
      </c>
    </row>
    <row r="6" ht="21.75" customHeight="1" s="55">
      <c r="A6" s="68" t="inlineStr">
        <is>
          <t>WF001</t>
        </is>
      </c>
      <c r="B6" s="61" t="inlineStr">
        <is>
          <t>Contract Creation</t>
        </is>
      </c>
      <c r="C6" s="61" t="inlineStr">
        <is>
          <t>User clicks Add Contract in building details</t>
        </is>
      </c>
      <c r="D6" s="61" t="inlineStr">
        <is>
          <t>DAS Staff</t>
        </is>
      </c>
      <c r="E6" s="61" t="inlineStr">
        <is>
          <t>5</t>
        </is>
      </c>
      <c r="F6" s="61" t="inlineStr">
        <is>
          <t>Subprocess</t>
        </is>
      </c>
      <c r="G6" s="61" t="inlineStr">
        <is>
          <t>System calls EP01: GET /legal-commitments/{localKey}</t>
        </is>
      </c>
      <c r="H6" s="68" t="inlineStr">
        <is>
          <t>AC005</t>
        </is>
      </c>
      <c r="I6" s="61" t="inlineStr">
        <is>
          <t>LCK data retrieved</t>
        </is>
      </c>
    </row>
    <row r="7" ht="21.75" customHeight="1" s="55">
      <c r="A7" s="69" t="inlineStr">
        <is>
          <t>WF001</t>
        </is>
      </c>
      <c r="B7" s="70" t="inlineStr">
        <is>
          <t>Contract Creation</t>
        </is>
      </c>
      <c r="C7" s="70" t="inlineStr">
        <is>
          <t>User clicks Add Contract in building details</t>
        </is>
      </c>
      <c r="D7" s="70" t="inlineStr">
        <is>
          <t>DAS Staff</t>
        </is>
      </c>
      <c r="E7" s="70" t="inlineStr">
        <is>
          <t>6</t>
        </is>
      </c>
      <c r="F7" s="70" t="inlineStr">
        <is>
          <t>Decision</t>
        </is>
      </c>
      <c r="G7" s="70" t="inlineStr">
        <is>
          <t>Is earlyWarning[] empty on LCK?</t>
        </is>
      </c>
      <c r="H7" s="69" t="inlineStr">
        <is>
          <t>AC005</t>
        </is>
      </c>
      <c r="I7" s="70" t="inlineStr">
        <is>
          <t>Yes: continue / No: block</t>
        </is>
      </c>
    </row>
    <row r="8" ht="21.75" customHeight="1" s="55">
      <c r="A8" s="68" t="inlineStr">
        <is>
          <t>WF001</t>
        </is>
      </c>
      <c r="B8" s="61" t="inlineStr">
        <is>
          <t>Contract Creation</t>
        </is>
      </c>
      <c r="C8" s="61" t="inlineStr">
        <is>
          <t>User clicks Add Contract in building details</t>
        </is>
      </c>
      <c r="D8" s="61" t="inlineStr">
        <is>
          <t>DAS Staff</t>
        </is>
      </c>
      <c r="E8" s="61" t="inlineStr">
        <is>
          <t>7</t>
        </is>
      </c>
      <c r="F8" s="61" t="inlineStr">
        <is>
          <t>Subprocess</t>
        </is>
      </c>
      <c r="G8" s="61" t="inlineStr">
        <is>
          <t>System calls EP02 + EP03 in parallel for LEF and BAF</t>
        </is>
      </c>
      <c r="H8" s="68" t="inlineStr">
        <is>
          <t>AC005</t>
        </is>
      </c>
      <c r="I8" s="61" t="inlineStr">
        <is>
          <t>LEF + BAF data retrieved</t>
        </is>
      </c>
    </row>
    <row r="9" ht="21.75" customHeight="1" s="55">
      <c r="A9" s="69" t="inlineStr">
        <is>
          <t>WF001</t>
        </is>
      </c>
      <c r="B9" s="70" t="inlineStr">
        <is>
          <t>Contract Creation</t>
        </is>
      </c>
      <c r="C9" s="70" t="inlineStr">
        <is>
          <t>User clicks Add Contract in building details</t>
        </is>
      </c>
      <c r="D9" s="70" t="inlineStr">
        <is>
          <t>DAS Staff</t>
        </is>
      </c>
      <c r="E9" s="70" t="inlineStr">
        <is>
          <t>8</t>
        </is>
      </c>
      <c r="F9" s="70" t="inlineStr">
        <is>
          <t>Decision</t>
        </is>
      </c>
      <c r="G9" s="70" t="inlineStr">
        <is>
          <t>Are earlyWarning[] empty on LEF AND BAF? Is BAF expiry future?</t>
        </is>
      </c>
      <c r="H9" s="69" t="inlineStr">
        <is>
          <t>AC005</t>
        </is>
      </c>
      <c r="I9" s="70" t="inlineStr">
        <is>
          <t>All valid: continue / Any failed: block</t>
        </is>
      </c>
    </row>
    <row r="10" ht="21.75" customHeight="1" s="55">
      <c r="A10" s="68" t="inlineStr">
        <is>
          <t>WF001</t>
        </is>
      </c>
      <c r="B10" s="61" t="inlineStr">
        <is>
          <t>Contract Creation</t>
        </is>
      </c>
      <c r="C10" s="61" t="inlineStr">
        <is>
          <t>User clicks Add Contract in building details</t>
        </is>
      </c>
      <c r="D10" s="61" t="inlineStr">
        <is>
          <t>DAS Staff</t>
        </is>
      </c>
      <c r="E10" s="61" t="inlineStr">
        <is>
          <t>9</t>
        </is>
      </c>
      <c r="F10" s="61" t="inlineStr">
        <is>
          <t>Action</t>
        </is>
      </c>
      <c r="G10" s="61" t="inlineStr">
        <is>
          <t>System populates contract fields from FH data</t>
        </is>
      </c>
      <c r="H10" s="68" t="inlineStr">
        <is>
          <t>AC005</t>
        </is>
      </c>
      <c r="I10" s="61" t="inlineStr">
        <is>
          <t>Fields auto-filled</t>
        </is>
      </c>
    </row>
    <row r="11" ht="21.75" customHeight="1" s="55">
      <c r="A11" s="69" t="inlineStr">
        <is>
          <t>WF001</t>
        </is>
      </c>
      <c r="B11" s="70" t="inlineStr">
        <is>
          <t>Contract Creation</t>
        </is>
      </c>
      <c r="C11" s="70" t="inlineStr">
        <is>
          <t>User clicks Add Contract in building details</t>
        </is>
      </c>
      <c r="D11" s="70" t="inlineStr">
        <is>
          <t>DAS Staff</t>
        </is>
      </c>
      <c r="E11" s="70" t="inlineStr">
        <is>
          <t>10</t>
        </is>
      </c>
      <c r="F11" s="70" t="inlineStr">
        <is>
          <t>Action</t>
        </is>
      </c>
      <c r="G11" s="70" t="inlineStr">
        <is>
          <t>User completes remaining manual fields</t>
        </is>
      </c>
      <c r="H11" s="69" t="inlineStr">
        <is>
          <t>AC004</t>
        </is>
      </c>
      <c r="I11" s="70" t="inlineStr">
        <is>
          <t>All fields filled</t>
        </is>
      </c>
    </row>
    <row r="12" ht="21.75" customHeight="1" s="55">
      <c r="A12" s="68" t="inlineStr">
        <is>
          <t>WF001</t>
        </is>
      </c>
      <c r="B12" s="61" t="inlineStr">
        <is>
          <t>Contract Creation</t>
        </is>
      </c>
      <c r="C12" s="61" t="inlineStr">
        <is>
          <t>User clicks Add Contract in building details</t>
        </is>
      </c>
      <c r="D12" s="61" t="inlineStr">
        <is>
          <t>DAS Staff</t>
        </is>
      </c>
      <c r="E12" s="61" t="inlineStr">
        <is>
          <t>11</t>
        </is>
      </c>
      <c r="F12" s="61" t="inlineStr">
        <is>
          <t>Action</t>
        </is>
      </c>
      <c r="G12" s="61" t="inlineStr">
        <is>
          <t>User saves contract as DRAFT</t>
        </is>
      </c>
      <c r="H12" s="68" t="inlineStr">
        <is>
          <t>AC004</t>
        </is>
      </c>
      <c r="I12" s="61" t="inlineStr">
        <is>
          <t>Contract saved (DRAFT status)</t>
        </is>
      </c>
    </row>
    <row r="13" ht="21.75" customHeight="1" s="55">
      <c r="A13" s="69" t="inlineStr">
        <is>
          <t>WF001</t>
        </is>
      </c>
      <c r="B13" s="70" t="inlineStr">
        <is>
          <t>Contract Creation</t>
        </is>
      </c>
      <c r="C13" s="70" t="inlineStr">
        <is>
          <t>User clicks Add Contract in building details</t>
        </is>
      </c>
      <c r="D13" s="70" t="inlineStr">
        <is>
          <t>DAS Staff</t>
        </is>
      </c>
      <c r="E13" s="70" t="inlineStr">
        <is>
          <t>12</t>
        </is>
      </c>
      <c r="F13" s="70" t="inlineStr">
        <is>
          <t>End</t>
        </is>
      </c>
      <c r="G13" s="70" t="inlineStr">
        <is>
          <t>Contract created successfully</t>
        </is>
      </c>
      <c r="H13" s="69" t="inlineStr">
        <is>
          <t>AC004</t>
        </is>
      </c>
      <c r="I13" s="70" t="inlineStr">
        <is>
          <t>Audit log entry created</t>
        </is>
      </c>
    </row>
    <row r="14" ht="21.75" customHeight="1" s="55">
      <c r="A14" s="72" t="inlineStr">
        <is>
          <t>WF002</t>
        </is>
      </c>
      <c r="B14" s="73" t="inlineStr">
        <is>
          <t>LCK Pull &amp; Validation</t>
        </is>
      </c>
      <c r="C14" s="73" t="inlineStr">
        <is>
          <t>User clicks Pull LCK button on contract form</t>
        </is>
      </c>
      <c r="D14" s="73" t="inlineStr">
        <is>
          <t>System</t>
        </is>
      </c>
      <c r="E14" s="73" t="inlineStr">
        <is>
          <t>1</t>
        </is>
      </c>
      <c r="F14" s="73" t="inlineStr">
        <is>
          <t>Start</t>
        </is>
      </c>
      <c r="G14" s="73" t="inlineStr">
        <is>
          <t>User enters LCK reference</t>
        </is>
      </c>
      <c r="H14" s="72" t="inlineStr">
        <is>
          <t>AC004</t>
        </is>
      </c>
      <c r="I14" s="73" t="inlineStr">
        <is>
          <t>LCK reference entered</t>
        </is>
      </c>
    </row>
    <row r="15" ht="21.75" customHeight="1" s="55">
      <c r="A15" s="69" t="inlineStr">
        <is>
          <t>WF002</t>
        </is>
      </c>
      <c r="B15" s="70" t="inlineStr">
        <is>
          <t>LCK Pull &amp; Validation</t>
        </is>
      </c>
      <c r="C15" s="70" t="inlineStr">
        <is>
          <t>User clicks Pull LCK button on contract form</t>
        </is>
      </c>
      <c r="D15" s="70" t="inlineStr">
        <is>
          <t>System</t>
        </is>
      </c>
      <c r="E15" s="70" t="inlineStr">
        <is>
          <t>2</t>
        </is>
      </c>
      <c r="F15" s="70" t="inlineStr">
        <is>
          <t>Decision</t>
        </is>
      </c>
      <c r="G15" s="70" t="inlineStr">
        <is>
          <t>Is LCK format valid (EAS.XXXXXX)?</t>
        </is>
      </c>
      <c r="H15" s="69" t="inlineStr">
        <is>
          <t>AC005</t>
        </is>
      </c>
      <c r="I15" s="70" t="inlineStr">
        <is>
          <t>Valid: proceed / Invalid: show BR064 error</t>
        </is>
      </c>
    </row>
    <row r="16" ht="21.75" customHeight="1" s="55">
      <c r="A16" s="68" t="inlineStr">
        <is>
          <t>WF002</t>
        </is>
      </c>
      <c r="B16" s="61" t="inlineStr">
        <is>
          <t>LCK Pull &amp; Validation</t>
        </is>
      </c>
      <c r="C16" s="61" t="inlineStr">
        <is>
          <t>User clicks Pull LCK button on contract form</t>
        </is>
      </c>
      <c r="D16" s="61" t="inlineStr">
        <is>
          <t>System</t>
        </is>
      </c>
      <c r="E16" s="61" t="inlineStr">
        <is>
          <t>3</t>
        </is>
      </c>
      <c r="F16" s="61" t="inlineStr">
        <is>
          <t>Subprocess</t>
        </is>
      </c>
      <c r="G16" s="61" t="inlineStr">
        <is>
          <t>Call GET /legal-commitments/{localKey}/last-validated</t>
        </is>
      </c>
      <c r="H16" s="68" t="inlineStr">
        <is>
          <t>AC005</t>
        </is>
      </c>
      <c r="I16" s="61" t="inlineStr">
        <is>
          <t>HTTP response received</t>
        </is>
      </c>
    </row>
    <row r="17" ht="21.75" customHeight="1" s="55">
      <c r="A17" s="69" t="inlineStr">
        <is>
          <t>WF002</t>
        </is>
      </c>
      <c r="B17" s="70" t="inlineStr">
        <is>
          <t>LCK Pull &amp; Validation</t>
        </is>
      </c>
      <c r="C17" s="70" t="inlineStr">
        <is>
          <t>User clicks Pull LCK button on contract form</t>
        </is>
      </c>
      <c r="D17" s="70" t="inlineStr">
        <is>
          <t>System</t>
        </is>
      </c>
      <c r="E17" s="70" t="inlineStr">
        <is>
          <t>4</t>
        </is>
      </c>
      <c r="F17" s="70" t="inlineStr">
        <is>
          <t>Decision</t>
        </is>
      </c>
      <c r="G17" s="70" t="inlineStr">
        <is>
          <t>HTTP 200? LCK found?</t>
        </is>
      </c>
      <c r="H17" s="69" t="inlineStr">
        <is>
          <t>AC005</t>
        </is>
      </c>
      <c r="I17" s="70" t="inlineStr">
        <is>
          <t>200: proceed / 404: Not found / 500: ABAC unreachable</t>
        </is>
      </c>
    </row>
    <row r="18" ht="21.75" customHeight="1" s="55">
      <c r="A18" s="68" t="inlineStr">
        <is>
          <t>WF002</t>
        </is>
      </c>
      <c r="B18" s="61" t="inlineStr">
        <is>
          <t>LCK Pull &amp; Validation</t>
        </is>
      </c>
      <c r="C18" s="61" t="inlineStr">
        <is>
          <t>User clicks Pull LCK button on contract form</t>
        </is>
      </c>
      <c r="D18" s="61" t="inlineStr">
        <is>
          <t>System</t>
        </is>
      </c>
      <c r="E18" s="61" t="inlineStr">
        <is>
          <t>5</t>
        </is>
      </c>
      <c r="F18" s="61" t="inlineStr">
        <is>
          <t>Decision</t>
        </is>
      </c>
      <c r="G18" s="61" t="inlineStr">
        <is>
          <t>Is classification_category == BUILDING?</t>
        </is>
      </c>
      <c r="H18" s="68" t="inlineStr">
        <is>
          <t>AC005</t>
        </is>
      </c>
      <c r="I18" s="61" t="inlineStr">
        <is>
          <t>Yes: proceed / No: Wrong category error</t>
        </is>
      </c>
    </row>
    <row r="19" ht="21.75" customHeight="1" s="55">
      <c r="A19" s="69" t="inlineStr">
        <is>
          <t>WF002</t>
        </is>
      </c>
      <c r="B19" s="70" t="inlineStr">
        <is>
          <t>LCK Pull &amp; Validation</t>
        </is>
      </c>
      <c r="C19" s="70" t="inlineStr">
        <is>
          <t>User clicks Pull LCK button on contract form</t>
        </is>
      </c>
      <c r="D19" s="70" t="inlineStr">
        <is>
          <t>System</t>
        </is>
      </c>
      <c r="E19" s="70" t="inlineStr">
        <is>
          <t>6</t>
        </is>
      </c>
      <c r="F19" s="70" t="inlineStr">
        <is>
          <t>Decision</t>
        </is>
      </c>
      <c r="G19" s="70" t="inlineStr">
        <is>
          <t>Is LCK already used by another contract?</t>
        </is>
      </c>
      <c r="H19" s="69" t="inlineStr">
        <is>
          <t>AC005</t>
        </is>
      </c>
      <c r="I19" s="70" t="inlineStr">
        <is>
          <t>No: proceed / Yes: Already in use error</t>
        </is>
      </c>
    </row>
    <row r="20" ht="21.75" customHeight="1" s="55">
      <c r="A20" s="68" t="inlineStr">
        <is>
          <t>WF002</t>
        </is>
      </c>
      <c r="B20" s="61" t="inlineStr">
        <is>
          <t>LCK Pull &amp; Validation</t>
        </is>
      </c>
      <c r="C20" s="61" t="inlineStr">
        <is>
          <t>User clicks Pull LCK button on contract form</t>
        </is>
      </c>
      <c r="D20" s="61" t="inlineStr">
        <is>
          <t>System</t>
        </is>
      </c>
      <c r="E20" s="61" t="inlineStr">
        <is>
          <t>7</t>
        </is>
      </c>
      <c r="F20" s="61" t="inlineStr">
        <is>
          <t>Action</t>
        </is>
      </c>
      <c r="G20" s="61" t="inlineStr">
        <is>
          <t>Extract contractors[].legal_entity_local_key and bank_account_local_key</t>
        </is>
      </c>
      <c r="H20" s="68" t="inlineStr">
        <is>
          <t>AC005</t>
        </is>
      </c>
      <c r="I20" s="61" t="inlineStr">
        <is>
          <t>LEF + BAF keys extracted</t>
        </is>
      </c>
    </row>
    <row r="21" ht="21.75" customHeight="1" s="55">
      <c r="A21" s="69" t="inlineStr">
        <is>
          <t>WF002</t>
        </is>
      </c>
      <c r="B21" s="70" t="inlineStr">
        <is>
          <t>LCK Pull &amp; Validation</t>
        </is>
      </c>
      <c r="C21" s="70" t="inlineStr">
        <is>
          <t>User clicks Pull LCK button on contract form</t>
        </is>
      </c>
      <c r="D21" s="70" t="inlineStr">
        <is>
          <t>System</t>
        </is>
      </c>
      <c r="E21" s="70" t="inlineStr">
        <is>
          <t>8</t>
        </is>
      </c>
      <c r="F21" s="70" t="inlineStr">
        <is>
          <t>End</t>
        </is>
      </c>
      <c r="G21" s="70" t="inlineStr">
        <is>
          <t>LCK validation complete - trigger LEF + BAF calls</t>
        </is>
      </c>
      <c r="H21" s="69" t="inlineStr">
        <is>
          <t>AC005</t>
        </is>
      </c>
      <c r="I21" s="70" t="inlineStr">
        <is>
          <t>Ready for EP02 + EP03</t>
        </is>
      </c>
    </row>
    <row r="22" ht="21.75" customHeight="1" s="55">
      <c r="A22" s="72" t="inlineStr">
        <is>
          <t>WF003</t>
        </is>
      </c>
      <c r="B22" s="73" t="inlineStr">
        <is>
          <t>Contract Amendment</t>
        </is>
      </c>
      <c r="C22" s="73" t="inlineStr">
        <is>
          <t>User clicks Add Amendment on In Force contract</t>
        </is>
      </c>
      <c r="D22" s="73" t="inlineStr">
        <is>
          <t>DAS Staff</t>
        </is>
      </c>
      <c r="E22" s="73" t="inlineStr">
        <is>
          <t>1</t>
        </is>
      </c>
      <c r="F22" s="73" t="inlineStr">
        <is>
          <t>Start</t>
        </is>
      </c>
      <c r="G22" s="73" t="inlineStr">
        <is>
          <t>Open In Force contract details</t>
        </is>
      </c>
      <c r="H22" s="72" t="inlineStr">
        <is>
          <t>AC004</t>
        </is>
      </c>
      <c r="I22" s="73" t="inlineStr">
        <is>
          <t>Amendment option available</t>
        </is>
      </c>
    </row>
    <row r="23" ht="21.75" customHeight="1" s="55">
      <c r="A23" s="69" t="inlineStr">
        <is>
          <t>WF003</t>
        </is>
      </c>
      <c r="B23" s="70" t="inlineStr">
        <is>
          <t>Contract Amendment</t>
        </is>
      </c>
      <c r="C23" s="70" t="inlineStr">
        <is>
          <t>User clicks Add Amendment on In Force contract</t>
        </is>
      </c>
      <c r="D23" s="70" t="inlineStr">
        <is>
          <t>DAS Staff</t>
        </is>
      </c>
      <c r="E23" s="70" t="inlineStr">
        <is>
          <t>2</t>
        </is>
      </c>
      <c r="F23" s="70" t="inlineStr">
        <is>
          <t>Decision</t>
        </is>
      </c>
      <c r="G23" s="70" t="inlineStr">
        <is>
          <t>Is contract status IN_FORCE?</t>
        </is>
      </c>
      <c r="H23" s="69" t="inlineStr">
        <is>
          <t>AC005</t>
        </is>
      </c>
      <c r="I23" s="70" t="inlineStr">
        <is>
          <t>Yes: allow amendment / No: block</t>
        </is>
      </c>
    </row>
    <row r="24" ht="21.75" customHeight="1" s="55">
      <c r="A24" s="68" t="inlineStr">
        <is>
          <t>WF003</t>
        </is>
      </c>
      <c r="B24" s="61" t="inlineStr">
        <is>
          <t>Contract Amendment</t>
        </is>
      </c>
      <c r="C24" s="61" t="inlineStr">
        <is>
          <t>User clicks Add Amendment on In Force contract</t>
        </is>
      </c>
      <c r="D24" s="61" t="inlineStr">
        <is>
          <t>DAS Staff</t>
        </is>
      </c>
      <c r="E24" s="61" t="inlineStr">
        <is>
          <t>3</t>
        </is>
      </c>
      <c r="F24" s="61" t="inlineStr">
        <is>
          <t>Action</t>
        </is>
      </c>
      <c r="G24" s="61" t="inlineStr">
        <is>
          <t>System creates new version linked to original LCK</t>
        </is>
      </c>
      <c r="H24" s="68" t="inlineStr">
        <is>
          <t>AC005</t>
        </is>
      </c>
      <c r="I24" s="61" t="inlineStr">
        <is>
          <t>Amendment draft created with change_request_type</t>
        </is>
      </c>
    </row>
    <row r="25" ht="21.75" customHeight="1" s="55">
      <c r="A25" s="69" t="inlineStr">
        <is>
          <t>WF003</t>
        </is>
      </c>
      <c r="B25" s="70" t="inlineStr">
        <is>
          <t>Contract Amendment</t>
        </is>
      </c>
      <c r="C25" s="70" t="inlineStr">
        <is>
          <t>User clicks Add Amendment on In Force contract</t>
        </is>
      </c>
      <c r="D25" s="70" t="inlineStr">
        <is>
          <t>DAS Staff</t>
        </is>
      </c>
      <c r="E25" s="70" t="inlineStr">
        <is>
          <t>4</t>
        </is>
      </c>
      <c r="F25" s="70" t="inlineStr">
        <is>
          <t>Action</t>
        </is>
      </c>
      <c r="G25" s="70" t="inlineStr">
        <is>
          <t>User modifies allowed fields (amounts dates)</t>
        </is>
      </c>
      <c r="H25" s="69" t="inlineStr">
        <is>
          <t>AC004</t>
        </is>
      </c>
      <c r="I25" s="70" t="inlineStr">
        <is>
          <t>Fields updated</t>
        </is>
      </c>
    </row>
    <row r="26" ht="21.75" customHeight="1" s="55">
      <c r="A26" s="68" t="inlineStr">
        <is>
          <t>WF003</t>
        </is>
      </c>
      <c r="B26" s="61" t="inlineStr">
        <is>
          <t>Contract Amendment</t>
        </is>
      </c>
      <c r="C26" s="61" t="inlineStr">
        <is>
          <t>User clicks Add Amendment on In Force contract</t>
        </is>
      </c>
      <c r="D26" s="61" t="inlineStr">
        <is>
          <t>DAS Staff</t>
        </is>
      </c>
      <c r="E26" s="61" t="inlineStr">
        <is>
          <t>5</t>
        </is>
      </c>
      <c r="F26" s="61" t="inlineStr">
        <is>
          <t>Action</t>
        </is>
      </c>
      <c r="G26" s="61" t="inlineStr">
        <is>
          <t>User submits amendment for approval</t>
        </is>
      </c>
      <c r="H26" s="68" t="inlineStr">
        <is>
          <t>AC004</t>
        </is>
      </c>
      <c r="I26" s="61" t="inlineStr">
        <is>
          <t>Amendment submitted</t>
        </is>
      </c>
    </row>
    <row r="27" ht="21.75" customHeight="1" s="55">
      <c r="A27" s="69" t="inlineStr">
        <is>
          <t>WF003</t>
        </is>
      </c>
      <c r="B27" s="70" t="inlineStr">
        <is>
          <t>Contract Amendment</t>
        </is>
      </c>
      <c r="C27" s="70" t="inlineStr">
        <is>
          <t>User clicks Add Amendment on In Force contract</t>
        </is>
      </c>
      <c r="D27" s="70" t="inlineStr">
        <is>
          <t>DAS Staff</t>
        </is>
      </c>
      <c r="E27" s="70" t="inlineStr">
        <is>
          <t>6</t>
        </is>
      </c>
      <c r="F27" s="70" t="inlineStr">
        <is>
          <t>End</t>
        </is>
      </c>
      <c r="G27" s="70" t="inlineStr">
        <is>
          <t>Amendment saved and linked to original contract</t>
        </is>
      </c>
      <c r="H27" s="69" t="inlineStr">
        <is>
          <t>AC004</t>
        </is>
      </c>
      <c r="I27" s="70" t="inlineStr">
        <is>
          <t>Audit trail updated</t>
        </is>
      </c>
    </row>
  </sheetData>
  <autoFilter ref="A1:I28"/>
  <conditionalFormatting sqref="F2:F28">
    <cfRule type="cellIs" rank="0" priority="2" equalAverage="0" operator="equal" aboveAverage="0" dxfId="13" text="" percent="0" bottom="0">
      <formula>"Decision"</formula>
    </cfRule>
    <cfRule type="cellIs" rank="0" priority="3" equalAverage="0" operator="equal" aboveAverage="0" dxfId="14" text="" percent="0" bottom="0">
      <formula>"Start"</formula>
    </cfRule>
    <cfRule type="cellIs" rank="0" priority="4" equalAverage="0" operator="equal" aboveAverage="0" dxfId="15" text="" percent="0" bottom="0">
      <formula>"End"</formula>
    </cfRule>
  </conditionalFormatting>
  <dataValidations count="1">
    <dataValidation sqref="F2:F28" showDropDown="0" showInputMessage="0" showErrorMessage="0" allowBlank="1" errorTitle="Invalid value" error="Please select a valid option" type="list" errorStyle="stop" operator="between">
      <formula1>"Action,Decision,Subprocess,Start,End,Parallel Gateway,Error/Exception"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6D28D9"/>
    <outlinePr summaryBelow="1" summaryRight="1"/>
    <pageSetUpPr fitToPage="0"/>
  </sheetPr>
  <dimension ref="A1:I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54" min="1" max="1"/>
    <col width="22" customWidth="1" style="54" min="2" max="2"/>
    <col width="14" customWidth="1" style="54" min="3" max="3"/>
    <col width="10" customWidth="1" style="54" min="4" max="4"/>
    <col width="40" customWidth="1" style="54" min="5" max="6"/>
    <col width="35" customWidth="1" style="54" min="7" max="7"/>
    <col width="16" customWidth="1" style="54" min="8" max="8"/>
    <col width="10" customWidth="1" style="54" min="9" max="9"/>
  </cols>
  <sheetData>
    <row r="1" ht="31.5" customHeight="1" s="55">
      <c r="A1" s="74" t="inlineStr">
        <is>
          <t>ID</t>
        </is>
      </c>
      <c r="B1" s="74" t="inlineStr">
        <is>
          <t>Name</t>
        </is>
      </c>
      <c r="C1" s="74" t="inlineStr">
        <is>
          <t>Category</t>
        </is>
      </c>
      <c r="D1" s="74" t="inlineStr">
        <is>
          <t>Priority</t>
        </is>
      </c>
      <c r="E1" s="74" t="inlineStr">
        <is>
          <t>Condition</t>
        </is>
      </c>
      <c r="F1" s="74" t="inlineStr">
        <is>
          <t>Action</t>
        </is>
      </c>
      <c r="G1" s="74" t="inlineStr">
        <is>
          <t>Exception</t>
        </is>
      </c>
      <c r="H1" s="74" t="inlineStr">
        <is>
          <t>Source</t>
        </is>
      </c>
      <c r="I1" s="74" t="inlineStr">
        <is>
          <t>RelatedReq</t>
        </is>
      </c>
    </row>
    <row r="2" ht="21.75" customHeight="1" s="55">
      <c r="A2" s="68" t="inlineStr">
        <is>
          <t>BR003</t>
        </is>
      </c>
      <c r="B2" s="61" t="inlineStr">
        <is>
          <t>Contract Status Lifecycle</t>
        </is>
      </c>
      <c r="C2" s="61" t="inlineStr">
        <is>
          <t>Workflow</t>
        </is>
      </c>
      <c r="D2" s="61" t="inlineStr">
        <is>
          <t>Critical</t>
        </is>
      </c>
      <c r="E2" s="61" t="inlineStr">
        <is>
          <t>Contract status changes requested</t>
        </is>
      </c>
      <c r="F2" s="61" t="inlineStr">
        <is>
          <t>Enforce valid transitions: DRAFT &gt; IN_FORCE &gt; EXPIRED &gt; ARCHIVED</t>
        </is>
      </c>
      <c r="G2" s="61" t="inlineStr">
        <is>
          <t>Reject invalid transition and log attempt</t>
        </is>
      </c>
      <c r="H2" s="61" t="inlineStr">
        <is>
          <t>IMMOGEST spec v2</t>
        </is>
      </c>
      <c r="I2" s="68" t="inlineStr">
        <is>
          <t>REQ-001</t>
        </is>
      </c>
    </row>
    <row r="3" ht="21.75" customHeight="1" s="55">
      <c r="A3" s="69" t="inlineStr">
        <is>
          <t>BR006</t>
        </is>
      </c>
      <c r="B3" s="70" t="inlineStr">
        <is>
          <t>Contract Type Validation</t>
        </is>
      </c>
      <c r="C3" s="70" t="inlineStr">
        <is>
          <t>Validation</t>
        </is>
      </c>
      <c r="D3" s="70" t="inlineStr">
        <is>
          <t>High</t>
        </is>
      </c>
      <c r="E3" s="70" t="inlineStr">
        <is>
          <t>User selects contract type</t>
        </is>
      </c>
      <c r="F3" s="70" t="inlineStr">
        <is>
          <t>Validate against allowed types: Art.5 Lease / Art.23 Lease / Purchase / Sub-lease / Administrative</t>
        </is>
      </c>
      <c r="G3" s="70" t="inlineStr">
        <is>
          <t>Show error: Invalid contract type</t>
        </is>
      </c>
      <c r="H3" s="70" t="inlineStr">
        <is>
          <t>IMMOGEST spec v2</t>
        </is>
      </c>
      <c r="I3" s="69" t="inlineStr">
        <is>
          <t>REQ-002</t>
        </is>
      </c>
    </row>
    <row r="4" ht="21.75" customHeight="1" s="55">
      <c r="A4" s="68" t="inlineStr">
        <is>
          <t>BR049</t>
        </is>
      </c>
      <c r="B4" s="61" t="inlineStr">
        <is>
          <t>Delete Building Guard</t>
        </is>
      </c>
      <c r="C4" s="61" t="inlineStr">
        <is>
          <t>Authorization</t>
        </is>
      </c>
      <c r="D4" s="61" t="inlineStr">
        <is>
          <t>Critical</t>
        </is>
      </c>
      <c r="E4" s="61" t="inlineStr">
        <is>
          <t>User attempts to delete building</t>
        </is>
      </c>
      <c r="F4" s="61" t="inlineStr">
        <is>
          <t>Allow deletion ONLY if no contracts exist including DRAFT status</t>
        </is>
      </c>
      <c r="G4" s="61" t="inlineStr">
        <is>
          <t>Show error: Cannot delete building with existing contracts</t>
        </is>
      </c>
      <c r="H4" s="61" t="inlineStr">
        <is>
          <t>IMMOGEST spec v2</t>
        </is>
      </c>
      <c r="I4" s="68" t="inlineStr">
        <is>
          <t>REQ-015</t>
        </is>
      </c>
    </row>
    <row r="5" ht="21.75" customHeight="1" s="55">
      <c r="A5" s="69" t="inlineStr">
        <is>
          <t>BR050</t>
        </is>
      </c>
      <c r="B5" s="70" t="inlineStr">
        <is>
          <t>Delete Contract Guard</t>
        </is>
      </c>
      <c r="C5" s="70" t="inlineStr">
        <is>
          <t>Authorization</t>
        </is>
      </c>
      <c r="D5" s="70" t="inlineStr">
        <is>
          <t>High</t>
        </is>
      </c>
      <c r="E5" s="70" t="inlineStr">
        <is>
          <t>User attempts to delete contract</t>
        </is>
      </c>
      <c r="F5" s="70" t="inlineStr">
        <is>
          <t>Allow deletion ONLY for DRAFT status contracts</t>
        </is>
      </c>
      <c r="G5" s="70" t="inlineStr">
        <is>
          <t>Show error: Only draft contracts can be deleted</t>
        </is>
      </c>
      <c r="H5" s="70" t="inlineStr">
        <is>
          <t>IMMOGEST spec v2</t>
        </is>
      </c>
      <c r="I5" s="69" t="inlineStr">
        <is>
          <t>REQ-016</t>
        </is>
      </c>
    </row>
    <row r="6" ht="21.75" customHeight="1" s="55">
      <c r="A6" s="68" t="inlineStr">
        <is>
          <t>BR053</t>
        </is>
      </c>
      <c r="B6" s="61" t="inlineStr">
        <is>
          <t>LCK Format Validation</t>
        </is>
      </c>
      <c r="C6" s="61" t="inlineStr">
        <is>
          <t>Validation</t>
        </is>
      </c>
      <c r="D6" s="61" t="inlineStr">
        <is>
          <t>Critical</t>
        </is>
      </c>
      <c r="E6" s="61" t="inlineStr">
        <is>
          <t>LCK reference entered by user</t>
        </is>
      </c>
      <c r="F6" s="61" t="inlineStr">
        <is>
          <t>Validate format: three letters + dot + six digits (e.g. EAS.123456)</t>
        </is>
      </c>
      <c r="G6" s="61" t="inlineStr">
        <is>
          <t>Show error messages per BR064</t>
        </is>
      </c>
      <c r="H6" s="61" t="inlineStr">
        <is>
          <t>Financial Hub spec</t>
        </is>
      </c>
      <c r="I6" s="68" t="inlineStr">
        <is>
          <t>REQ-003</t>
        </is>
      </c>
    </row>
    <row r="7" ht="21.75" customHeight="1" s="55">
      <c r="A7" s="69" t="inlineStr">
        <is>
          <t>BR054</t>
        </is>
      </c>
      <c r="B7" s="70" t="inlineStr">
        <is>
          <t>Single In Force Contract</t>
        </is>
      </c>
      <c r="C7" s="70" t="inlineStr">
        <is>
          <t>Workflow</t>
        </is>
      </c>
      <c r="D7" s="70" t="inlineStr">
        <is>
          <t>Critical</t>
        </is>
      </c>
      <c r="E7" s="70" t="inlineStr">
        <is>
          <t>Contract activation requested</t>
        </is>
      </c>
      <c r="F7" s="70" t="inlineStr">
        <is>
          <t>Only one contract with status IN_FORCE allowed per building at any time</t>
        </is>
      </c>
      <c r="G7" s="70" t="inlineStr">
        <is>
          <t>Show error: Another contract is already In Force for this building</t>
        </is>
      </c>
      <c r="H7" s="70" t="inlineStr">
        <is>
          <t>IMMOGEST spec v2</t>
        </is>
      </c>
      <c r="I7" s="69" t="inlineStr">
        <is>
          <t>REQ-004</t>
        </is>
      </c>
    </row>
    <row r="8" ht="21.75" customHeight="1" s="55">
      <c r="A8" s="68" t="inlineStr">
        <is>
          <t>BR055</t>
        </is>
      </c>
      <c r="B8" s="61" t="inlineStr">
        <is>
          <t>BAF Validation</t>
        </is>
      </c>
      <c r="C8" s="61" t="inlineStr">
        <is>
          <t>Compliance</t>
        </is>
      </c>
      <c r="D8" s="61" t="inlineStr">
        <is>
          <t>Critical</t>
        </is>
      </c>
      <c r="E8" s="61" t="inlineStr">
        <is>
          <t>Bank account data retrieved from Financial Hub</t>
        </is>
      </c>
      <c r="F8" s="61" t="inlineStr">
        <is>
          <t>IBAN format check + central_status must be VALID + workflow_status must be VALID</t>
        </is>
      </c>
      <c r="G8" s="61" t="inlineStr">
        <is>
          <t>Block contract creation and show specific validation error</t>
        </is>
      </c>
      <c r="H8" s="61" t="inlineStr">
        <is>
          <t>Financial Hub spec</t>
        </is>
      </c>
      <c r="I8" s="68" t="inlineStr">
        <is>
          <t>REQ-005</t>
        </is>
      </c>
    </row>
    <row r="9" ht="21.75" customHeight="1" s="55">
      <c r="A9" s="69" t="inlineStr">
        <is>
          <t>BR060</t>
        </is>
      </c>
      <c r="B9" s="70" t="inlineStr">
        <is>
          <t>Automatic Expiry Process</t>
        </is>
      </c>
      <c r="C9" s="70" t="inlineStr">
        <is>
          <t>Workflow</t>
        </is>
      </c>
      <c r="D9" s="70" t="inlineStr">
        <is>
          <t>High</t>
        </is>
      </c>
      <c r="E9" s="70" t="inlineStr">
        <is>
          <t>System clock reaches 02:01 AM daily</t>
        </is>
      </c>
      <c r="F9" s="70" t="inlineStr">
        <is>
          <t>Check all IN_FORCE contracts - if end_date &lt; today then set status to EXPIRED</t>
        </is>
      </c>
      <c r="G9" s="70" t="inlineStr">
        <is>
          <t>Log failed expiry attempts for manual review</t>
        </is>
      </c>
      <c r="H9" s="70" t="inlineStr">
        <is>
          <t>IMMOGEST spec v2</t>
        </is>
      </c>
      <c r="I9" s="69" t="inlineStr">
        <is>
          <t>REQ-006</t>
        </is>
      </c>
    </row>
    <row r="10" ht="21.75" customHeight="1" s="55">
      <c r="A10" s="68" t="inlineStr">
        <is>
          <t>BR064</t>
        </is>
      </c>
      <c r="B10" s="61" t="inlineStr">
        <is>
          <t>LCK Validation Messages</t>
        </is>
      </c>
      <c r="C10" s="61" t="inlineStr">
        <is>
          <t>Validation</t>
        </is>
      </c>
      <c r="D10" s="61" t="inlineStr">
        <is>
          <t>High</t>
        </is>
      </c>
      <c r="E10" s="61" t="inlineStr">
        <is>
          <t>LCK validation fails</t>
        </is>
      </c>
      <c r="F10" s="61" t="inlineStr">
        <is>
          <t>Display specific error: Empty LCK / Not found in LCK / ABAC unreachable / Wrong category / Expired / Already in use</t>
        </is>
      </c>
      <c r="G10" s="61" t="inlineStr">
        <is>
          <t>Log all validation failures with timestamp and user</t>
        </is>
      </c>
      <c r="H10" s="61" t="inlineStr">
        <is>
          <t>Financial Hub spec</t>
        </is>
      </c>
      <c r="I10" s="68" t="inlineStr">
        <is>
          <t>REQ-003</t>
        </is>
      </c>
    </row>
    <row r="11" ht="21.75" customHeight="1" s="55">
      <c r="A11" s="69" t="inlineStr">
        <is>
          <t>BR067</t>
        </is>
      </c>
      <c r="B11" s="70" t="inlineStr">
        <is>
          <t>Supported File Types</t>
        </is>
      </c>
      <c r="C11" s="70" t="inlineStr">
        <is>
          <t>Validation</t>
        </is>
      </c>
      <c r="D11" s="70" t="inlineStr">
        <is>
          <t>Medium</t>
        </is>
      </c>
      <c r="E11" s="70" t="inlineStr">
        <is>
          <t>User uploads document</t>
        </is>
      </c>
      <c r="F11" s="70" t="inlineStr">
        <is>
          <t>Validate against whitelist: jpg jpeg jfif png pdf doc docx xls xlsx ppt pps pptx rtf txt gif bmp zip 7z xsl kml kmz msg tif dwg</t>
        </is>
      </c>
      <c r="G11" s="70" t="inlineStr">
        <is>
          <t>Show error: File type not supported</t>
        </is>
      </c>
      <c r="H11" s="70" t="inlineStr">
        <is>
          <t>IMMOGEST spec v2</t>
        </is>
      </c>
      <c r="I11" s="69" t="inlineStr">
        <is>
          <t>REQ-020</t>
        </is>
      </c>
    </row>
  </sheetData>
  <autoFilter ref="A1:I12"/>
  <conditionalFormatting sqref="D2:D12">
    <cfRule type="cellIs" rank="0" priority="2" equalAverage="0" operator="equal" aboveAverage="0" dxfId="19" text="" percent="0" bottom="0">
      <formula>"Critical"</formula>
    </cfRule>
    <cfRule type="cellIs" rank="0" priority="3" equalAverage="0" operator="equal" aboveAverage="0" dxfId="13" text="" percent="0" bottom="0">
      <formula>"High"</formula>
    </cfRule>
  </conditionalFormatting>
  <dataValidations count="2">
    <dataValidation sqref="C2:C12" showDropDown="0" showInputMessage="0" showErrorMessage="0" allowBlank="1" errorTitle="Invalid value" error="Please select a valid option" type="list" errorStyle="stop" operator="between">
      <formula1>"Validation,Calculation,Authorization,Workflow,Data Quality,Compliance,Integration,Notification"</formula1>
      <formula2>0</formula2>
    </dataValidation>
    <dataValidation sqref="D2:D12" showDropDown="0" showInputMessage="0" showErrorMessage="0" allowBlank="1" errorTitle="Invalid value" error="Please select a valid option" type="list" errorStyle="stop" operator="between">
      <formula1>"Critical,High,Medium,Low"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0369A1"/>
    <outlinePr summaryBelow="1" summaryRight="1"/>
    <pageSetUpPr fitToPage="0"/>
  </sheetPr>
  <dimension ref="A1:K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54" min="1" max="1"/>
    <col width="18" customWidth="1" style="54" min="2" max="2"/>
    <col width="28" customWidth="1" style="54" min="3" max="3"/>
    <col width="18" customWidth="1" style="54" min="4" max="4"/>
    <col width="10" customWidth="1" style="54" min="5" max="7"/>
    <col width="8" customWidth="1" style="54" min="8" max="8"/>
    <col width="16" customWidth="1" style="54" min="9" max="9"/>
    <col width="12" customWidth="1" style="54" min="10" max="10"/>
    <col width="30" customWidth="1" style="54" min="11" max="11"/>
  </cols>
  <sheetData>
    <row r="1" ht="25.5" customHeight="1" s="55">
      <c r="A1" s="75" t="inlineStr">
        <is>
          <t>Legal Commitment (LCK): 38 fields | 31 ok | 7 TBI | 0 Gap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8" t="n"/>
    </row>
    <row r="2" ht="31.5" customHeight="1" s="55">
      <c r="A2" s="76" t="inlineStr">
        <is>
          <t>Field_Name</t>
        </is>
      </c>
      <c r="B2" s="76" t="inlineStr">
        <is>
          <t>Label</t>
        </is>
      </c>
      <c r="C2" s="76" t="inlineStr">
        <is>
          <t>Source_Path</t>
        </is>
      </c>
      <c r="D2" s="76" t="inlineStr">
        <is>
          <t>Target_Field</t>
        </is>
      </c>
      <c r="E2" s="76" t="inlineStr">
        <is>
          <t>Data_Type</t>
        </is>
      </c>
      <c r="F2" s="76" t="inlineStr">
        <is>
          <t>Edit_Mode</t>
        </is>
      </c>
      <c r="G2" s="76" t="inlineStr">
        <is>
          <t>Mandatory</t>
        </is>
      </c>
      <c r="H2" s="76" t="inlineStr">
        <is>
          <t>BR_Ref</t>
        </is>
      </c>
      <c r="I2" s="76" t="inlineStr">
        <is>
          <t>Sample_Value</t>
        </is>
      </c>
      <c r="J2" s="76" t="inlineStr">
        <is>
          <t>Migration_Status</t>
        </is>
      </c>
      <c r="K2" s="76" t="inlineStr">
        <is>
          <t>Compliance_Note</t>
        </is>
      </c>
    </row>
    <row r="3" ht="21.75" customHeight="1" s="55">
      <c r="A3" s="61" t="inlineStr">
        <is>
          <t>local_key</t>
        </is>
      </c>
      <c r="B3" s="61" t="inlineStr">
        <is>
          <t>LCK Reference</t>
        </is>
      </c>
      <c r="C3" s="61" t="inlineStr">
        <is>
          <t>local_key</t>
        </is>
      </c>
      <c r="D3" s="61" t="inlineStr">
        <is>
          <t>lck_reference</t>
        </is>
      </c>
      <c r="E3" s="61" t="inlineStr">
        <is>
          <t>String</t>
        </is>
      </c>
      <c r="F3" s="61" t="inlineStr">
        <is>
          <t>Read</t>
        </is>
      </c>
      <c r="G3" s="61" t="inlineStr">
        <is>
          <t>Y</t>
        </is>
      </c>
      <c r="H3" s="68" t="inlineStr">
        <is>
          <t>BR053</t>
        </is>
      </c>
      <c r="I3" s="61" t="inlineStr">
        <is>
          <t>EAS.517864</t>
        </is>
      </c>
      <c r="J3" s="77" t="inlineStr">
        <is>
          <t>ok</t>
        </is>
      </c>
      <c r="K3" s="61" t="n"/>
    </row>
    <row r="4" ht="21.75" customHeight="1" s="55">
      <c r="A4" s="70" t="inlineStr">
        <is>
          <t>central_identifier</t>
        </is>
      </c>
      <c r="B4" s="70" t="inlineStr">
        <is>
          <t>Central Identifier</t>
        </is>
      </c>
      <c r="C4" s="70" t="inlineStr">
        <is>
          <t>central_identifier</t>
        </is>
      </c>
      <c r="D4" s="70" t="inlineStr">
        <is>
          <t>central_id</t>
        </is>
      </c>
      <c r="E4" s="70" t="inlineStr">
        <is>
          <t>String</t>
        </is>
      </c>
      <c r="F4" s="70" t="inlineStr">
        <is>
          <t>Read</t>
        </is>
      </c>
      <c r="G4" s="70" t="inlineStr">
        <is>
          <t>N</t>
        </is>
      </c>
      <c r="H4" s="70" t="n"/>
      <c r="I4" s="70" t="inlineStr">
        <is>
          <t>LC-02915910</t>
        </is>
      </c>
      <c r="J4" s="77" t="inlineStr">
        <is>
          <t>ok</t>
        </is>
      </c>
      <c r="K4" s="70" t="n"/>
    </row>
    <row r="5" ht="21.75" customHeight="1" s="55">
      <c r="A5" s="61" t="inlineStr">
        <is>
          <t>display_key</t>
        </is>
      </c>
      <c r="B5" s="61" t="inlineStr">
        <is>
          <t>Display Key</t>
        </is>
      </c>
      <c r="C5" s="61" t="inlineStr">
        <is>
          <t>display_key</t>
        </is>
      </c>
      <c r="D5" s="61" t="inlineStr">
        <is>
          <t>display_key</t>
        </is>
      </c>
      <c r="E5" s="61" t="inlineStr">
        <is>
          <t>String</t>
        </is>
      </c>
      <c r="F5" s="61" t="inlineStr">
        <is>
          <t>Read</t>
        </is>
      </c>
      <c r="G5" s="61" t="inlineStr">
        <is>
          <t>N</t>
        </is>
      </c>
      <c r="H5" s="61" t="n"/>
      <c r="I5" s="61" t="inlineStr">
        <is>
          <t>LC-02915910</t>
        </is>
      </c>
      <c r="J5" s="77" t="inlineStr">
        <is>
          <t>ok</t>
        </is>
      </c>
      <c r="K5" s="61" t="n"/>
    </row>
    <row r="6" ht="21.75" customHeight="1" s="55">
      <c r="A6" s="70" t="inlineStr">
        <is>
          <t>legal_commitment_type</t>
        </is>
      </c>
      <c r="B6" s="70" t="inlineStr">
        <is>
          <t>Commitment Type</t>
        </is>
      </c>
      <c r="C6" s="70" t="inlineStr">
        <is>
          <t>legal_commitment_type</t>
        </is>
      </c>
      <c r="D6" s="70" t="inlineStr">
        <is>
          <t>commitment_type</t>
        </is>
      </c>
      <c r="E6" s="70" t="inlineStr">
        <is>
          <t>String</t>
        </is>
      </c>
      <c r="F6" s="70" t="inlineStr">
        <is>
          <t>Read</t>
        </is>
      </c>
      <c r="G6" s="70" t="inlineStr">
        <is>
          <t>Y</t>
        </is>
      </c>
      <c r="H6" s="70" t="n"/>
      <c r="I6" s="70" t="inlineStr">
        <is>
          <t>GLOBAL</t>
        </is>
      </c>
      <c r="J6" s="77" t="inlineStr">
        <is>
          <t>ok</t>
        </is>
      </c>
      <c r="K6" s="70" t="n"/>
    </row>
    <row r="7" ht="21.75" customHeight="1" s="55">
      <c r="A7" s="61" t="inlineStr">
        <is>
          <t>classification_category</t>
        </is>
      </c>
      <c r="B7" s="61" t="inlineStr">
        <is>
          <t>Category</t>
        </is>
      </c>
      <c r="C7" s="61" t="inlineStr">
        <is>
          <t>classification_category</t>
        </is>
      </c>
      <c r="D7" s="61" t="inlineStr">
        <is>
          <t>classification_cat</t>
        </is>
      </c>
      <c r="E7" s="61" t="inlineStr">
        <is>
          <t>String</t>
        </is>
      </c>
      <c r="F7" s="61" t="inlineStr">
        <is>
          <t>Read</t>
        </is>
      </c>
      <c r="G7" s="61" t="inlineStr">
        <is>
          <t>Y</t>
        </is>
      </c>
      <c r="H7" s="68" t="inlineStr">
        <is>
          <t>BR052</t>
        </is>
      </c>
      <c r="I7" s="61" t="inlineStr">
        <is>
          <t>BUILDING</t>
        </is>
      </c>
      <c r="J7" s="77" t="inlineStr">
        <is>
          <t>ok</t>
        </is>
      </c>
      <c r="K7" s="61" t="inlineStr">
        <is>
          <t>Must be BUILDING</t>
        </is>
      </c>
    </row>
    <row r="8" ht="21.75" customHeight="1" s="55">
      <c r="A8" s="70" t="inlineStr">
        <is>
          <t>multi_annual_flag</t>
        </is>
      </c>
      <c r="B8" s="70" t="inlineStr">
        <is>
          <t>Multi-Annual</t>
        </is>
      </c>
      <c r="C8" s="70" t="inlineStr">
        <is>
          <t>multi_annual_flag</t>
        </is>
      </c>
      <c r="D8" s="70" t="inlineStr">
        <is>
          <t>multi_annual</t>
        </is>
      </c>
      <c r="E8" s="70" t="inlineStr">
        <is>
          <t>Boolean</t>
        </is>
      </c>
      <c r="F8" s="70" t="inlineStr">
        <is>
          <t>Read</t>
        </is>
      </c>
      <c r="G8" s="70" t="inlineStr">
        <is>
          <t>N</t>
        </is>
      </c>
      <c r="H8" s="70" t="n"/>
      <c r="I8" s="70" t="inlineStr">
        <is>
          <t>true</t>
        </is>
      </c>
      <c r="J8" s="77" t="inlineStr">
        <is>
          <t>ok</t>
        </is>
      </c>
      <c r="K8" s="70" t="n"/>
    </row>
    <row r="9" ht="21.75" customHeight="1" s="55">
      <c r="A9" s="61" t="inlineStr">
        <is>
          <t>contract_amount</t>
        </is>
      </c>
      <c r="B9" s="61" t="inlineStr">
        <is>
          <t>Contract Amount</t>
        </is>
      </c>
      <c r="C9" s="61" t="inlineStr">
        <is>
          <t>amounts.contract_amount.value</t>
        </is>
      </c>
      <c r="D9" s="61" t="inlineStr">
        <is>
          <t>contract_amount</t>
        </is>
      </c>
      <c r="E9" s="61" t="inlineStr">
        <is>
          <t>Decimal</t>
        </is>
      </c>
      <c r="F9" s="61" t="inlineStr">
        <is>
          <t>Read</t>
        </is>
      </c>
      <c r="G9" s="61" t="inlineStr">
        <is>
          <t>Y</t>
        </is>
      </c>
      <c r="H9" s="61" t="n"/>
      <c r="I9" s="61" t="inlineStr">
        <is>
          <t>125000.00</t>
        </is>
      </c>
      <c r="J9" s="77" t="inlineStr">
        <is>
          <t>ok</t>
        </is>
      </c>
      <c r="K9" s="61" t="n"/>
    </row>
    <row r="10" ht="21.75" customHeight="1" s="55">
      <c r="A10" s="70" t="inlineStr">
        <is>
          <t>contract_currency</t>
        </is>
      </c>
      <c r="B10" s="70" t="inlineStr">
        <is>
          <t>Currency</t>
        </is>
      </c>
      <c r="C10" s="70" t="inlineStr">
        <is>
          <t>amounts.contract_amount.currency</t>
        </is>
      </c>
      <c r="D10" s="70" t="inlineStr">
        <is>
          <t>contract_currency</t>
        </is>
      </c>
      <c r="E10" s="70" t="inlineStr">
        <is>
          <t>String</t>
        </is>
      </c>
      <c r="F10" s="70" t="inlineStr">
        <is>
          <t>Read</t>
        </is>
      </c>
      <c r="G10" s="70" t="inlineStr">
        <is>
          <t>Y</t>
        </is>
      </c>
      <c r="H10" s="70" t="n"/>
      <c r="I10" s="70" t="inlineStr">
        <is>
          <t>EUR</t>
        </is>
      </c>
      <c r="J10" s="77" t="inlineStr">
        <is>
          <t>ok</t>
        </is>
      </c>
      <c r="K10" s="70" t="n"/>
    </row>
    <row r="11" ht="21.75" customHeight="1" s="55">
      <c r="A11" s="61" t="inlineStr">
        <is>
          <t>instalment_amount</t>
        </is>
      </c>
      <c r="B11" s="61" t="inlineStr">
        <is>
          <t>Instalment Amount</t>
        </is>
      </c>
      <c r="C11" s="61" t="inlineStr">
        <is>
          <t>amounts.instalment_amount.value</t>
        </is>
      </c>
      <c r="D11" s="61" t="inlineStr">
        <is>
          <t>instalment_amount</t>
        </is>
      </c>
      <c r="E11" s="61" t="inlineStr">
        <is>
          <t>Decimal</t>
        </is>
      </c>
      <c r="F11" s="61" t="inlineStr">
        <is>
          <t>Read</t>
        </is>
      </c>
      <c r="G11" s="61" t="inlineStr">
        <is>
          <t>N</t>
        </is>
      </c>
      <c r="H11" s="61" t="n"/>
      <c r="I11" s="61" t="inlineStr">
        <is>
          <t>10416.67</t>
        </is>
      </c>
      <c r="J11" s="77" t="inlineStr">
        <is>
          <t>ok</t>
        </is>
      </c>
      <c r="K11" s="61" t="n"/>
    </row>
    <row r="12" ht="21.75" customHeight="1" s="55">
      <c r="A12" s="70" t="inlineStr">
        <is>
          <t>covered_amount</t>
        </is>
      </c>
      <c r="B12" s="70" t="inlineStr">
        <is>
          <t>Covered Amount</t>
        </is>
      </c>
      <c r="C12" s="70" t="inlineStr">
        <is>
          <t>amounts.covered_amount.value</t>
        </is>
      </c>
      <c r="D12" s="70" t="inlineStr">
        <is>
          <t>covered_amount</t>
        </is>
      </c>
      <c r="E12" s="70" t="inlineStr">
        <is>
          <t>Decimal</t>
        </is>
      </c>
      <c r="F12" s="70" t="inlineStr">
        <is>
          <t>Read</t>
        </is>
      </c>
      <c r="G12" s="70" t="inlineStr">
        <is>
          <t>N</t>
        </is>
      </c>
      <c r="H12" s="70" t="n"/>
      <c r="I12" s="70" t="inlineStr">
        <is>
          <t>125000.00</t>
        </is>
      </c>
      <c r="J12" s="77" t="inlineStr">
        <is>
          <t>ok</t>
        </is>
      </c>
      <c r="K12" s="70" t="n"/>
    </row>
    <row r="13" ht="21.75" customHeight="1" s="55">
      <c r="A13" s="61" t="inlineStr">
        <is>
          <t>signature_date</t>
        </is>
      </c>
      <c r="B13" s="61" t="inlineStr">
        <is>
          <t>Signature Date</t>
        </is>
      </c>
      <c r="C13" s="61" t="inlineStr">
        <is>
          <t>dates.signature_date</t>
        </is>
      </c>
      <c r="D13" s="61" t="inlineStr">
        <is>
          <t>signature_date</t>
        </is>
      </c>
      <c r="E13" s="61" t="inlineStr">
        <is>
          <t>Date</t>
        </is>
      </c>
      <c r="F13" s="61" t="inlineStr">
        <is>
          <t>Read</t>
        </is>
      </c>
      <c r="G13" s="61" t="inlineStr">
        <is>
          <t>N</t>
        </is>
      </c>
      <c r="H13" s="61" t="n"/>
      <c r="I13" s="61" t="inlineStr">
        <is>
          <t>2023-06-15</t>
        </is>
      </c>
      <c r="J13" s="77" t="inlineStr">
        <is>
          <t>ok</t>
        </is>
      </c>
      <c r="K13" s="61" t="n"/>
    </row>
    <row r="14" ht="21.75" customHeight="1" s="55">
      <c r="A14" s="70" t="inlineStr">
        <is>
          <t>in_force_date</t>
        </is>
      </c>
      <c r="B14" s="70" t="inlineStr">
        <is>
          <t>In Force Date</t>
        </is>
      </c>
      <c r="C14" s="70" t="inlineStr">
        <is>
          <t>dates.in_force_date</t>
        </is>
      </c>
      <c r="D14" s="70" t="inlineStr">
        <is>
          <t>in_force_date</t>
        </is>
      </c>
      <c r="E14" s="70" t="inlineStr">
        <is>
          <t>Date</t>
        </is>
      </c>
      <c r="F14" s="70" t="inlineStr">
        <is>
          <t>Read</t>
        </is>
      </c>
      <c r="G14" s="70" t="inlineStr">
        <is>
          <t>N</t>
        </is>
      </c>
      <c r="H14" s="70" t="n"/>
      <c r="I14" s="70" t="inlineStr">
        <is>
          <t>2023-07-01</t>
        </is>
      </c>
      <c r="J14" s="77" t="inlineStr">
        <is>
          <t>ok</t>
        </is>
      </c>
      <c r="K14" s="70" t="n"/>
    </row>
    <row r="15" ht="21.75" customHeight="1" s="55">
      <c r="A15" s="61" t="inlineStr">
        <is>
          <t>start_date</t>
        </is>
      </c>
      <c r="B15" s="61" t="inlineStr">
        <is>
          <t>Start Date</t>
        </is>
      </c>
      <c r="C15" s="61" t="inlineStr">
        <is>
          <t>dates.start_date</t>
        </is>
      </c>
      <c r="D15" s="61" t="inlineStr">
        <is>
          <t>start_date</t>
        </is>
      </c>
      <c r="E15" s="61" t="inlineStr">
        <is>
          <t>Date</t>
        </is>
      </c>
      <c r="F15" s="61" t="inlineStr">
        <is>
          <t>Read</t>
        </is>
      </c>
      <c r="G15" s="61" t="inlineStr">
        <is>
          <t>Y</t>
        </is>
      </c>
      <c r="H15" s="61" t="n"/>
      <c r="I15" s="61" t="inlineStr">
        <is>
          <t>2023-07-01</t>
        </is>
      </c>
      <c r="J15" s="77" t="inlineStr">
        <is>
          <t>ok</t>
        </is>
      </c>
      <c r="K15" s="61" t="n"/>
    </row>
    <row r="16" ht="21.75" customHeight="1" s="55">
      <c r="A16" s="70" t="inlineStr">
        <is>
          <t>end_date</t>
        </is>
      </c>
      <c r="B16" s="70" t="inlineStr">
        <is>
          <t>End Date</t>
        </is>
      </c>
      <c r="C16" s="70" t="inlineStr">
        <is>
          <t>dates.end_date</t>
        </is>
      </c>
      <c r="D16" s="70" t="inlineStr">
        <is>
          <t>end_date</t>
        </is>
      </c>
      <c r="E16" s="70" t="inlineStr">
        <is>
          <t>Date</t>
        </is>
      </c>
      <c r="F16" s="70" t="inlineStr">
        <is>
          <t>Read</t>
        </is>
      </c>
      <c r="G16" s="70" t="inlineStr">
        <is>
          <t>Y</t>
        </is>
      </c>
      <c r="H16" s="70" t="n"/>
      <c r="I16" s="70" t="inlineStr">
        <is>
          <t>2026-06-30</t>
        </is>
      </c>
      <c r="J16" s="77" t="inlineStr">
        <is>
          <t>ok</t>
        </is>
      </c>
      <c r="K16" s="70" t="n"/>
    </row>
    <row r="17" ht="21.75" customHeight="1" s="55">
      <c r="A17" s="61" t="inlineStr">
        <is>
          <t>closing_date</t>
        </is>
      </c>
      <c r="B17" s="61" t="inlineStr">
        <is>
          <t>Closing Date</t>
        </is>
      </c>
      <c r="C17" s="61" t="inlineStr">
        <is>
          <t>dates.closing_date</t>
        </is>
      </c>
      <c r="D17" s="61" t="inlineStr">
        <is>
          <t>closing_date</t>
        </is>
      </c>
      <c r="E17" s="61" t="inlineStr">
        <is>
          <t>Date</t>
        </is>
      </c>
      <c r="F17" s="61" t="inlineStr">
        <is>
          <t>Read</t>
        </is>
      </c>
      <c r="G17" s="61" t="inlineStr">
        <is>
          <t>N</t>
        </is>
      </c>
      <c r="H17" s="61" t="n"/>
      <c r="I17" s="61" t="n"/>
      <c r="J17" s="77" t="inlineStr">
        <is>
          <t>ok</t>
        </is>
      </c>
      <c r="K17" s="61" t="n"/>
    </row>
    <row r="18" ht="21.75" customHeight="1" s="55">
      <c r="A18" s="70" t="inlineStr">
        <is>
          <t>amendment_type_code</t>
        </is>
      </c>
      <c r="B18" s="70" t="inlineStr">
        <is>
          <t>Amendment Type</t>
        </is>
      </c>
      <c r="C18" s="70" t="inlineStr">
        <is>
          <t>amendment_type_code</t>
        </is>
      </c>
      <c r="D18" s="70" t="inlineStr">
        <is>
          <t>amendment_type</t>
        </is>
      </c>
      <c r="E18" s="70" t="inlineStr">
        <is>
          <t>String</t>
        </is>
      </c>
      <c r="F18" s="70" t="inlineStr">
        <is>
          <t>Read</t>
        </is>
      </c>
      <c r="G18" s="70" t="inlineStr">
        <is>
          <t>N</t>
        </is>
      </c>
      <c r="H18" s="70" t="n"/>
      <c r="I18" s="70" t="inlineStr">
        <is>
          <t>ORIGINAL</t>
        </is>
      </c>
      <c r="J18" s="77" t="inlineStr">
        <is>
          <t>ok</t>
        </is>
      </c>
      <c r="K18" s="70" t="n"/>
    </row>
    <row r="19" ht="21.75" customHeight="1" s="55">
      <c r="A19" s="61" t="inlineStr">
        <is>
          <t>change_request_type</t>
        </is>
      </c>
      <c r="B19" s="61" t="inlineStr">
        <is>
          <t>Change Request Type</t>
        </is>
      </c>
      <c r="C19" s="61" t="inlineStr">
        <is>
          <t>change_request_type_code</t>
        </is>
      </c>
      <c r="D19" s="61" t="inlineStr">
        <is>
          <t>change_request_type</t>
        </is>
      </c>
      <c r="E19" s="61" t="inlineStr">
        <is>
          <t>String</t>
        </is>
      </c>
      <c r="F19" s="61" t="inlineStr">
        <is>
          <t>Read</t>
        </is>
      </c>
      <c r="G19" s="61" t="inlineStr">
        <is>
          <t>N</t>
        </is>
      </c>
      <c r="H19" s="68" t="inlineStr">
        <is>
          <t>BR055</t>
        </is>
      </c>
      <c r="I19" s="61" t="n"/>
      <c r="J19" s="77" t="inlineStr">
        <is>
          <t>ok</t>
        </is>
      </c>
      <c r="K19" s="61" t="n"/>
    </row>
    <row r="20" ht="21.75" customHeight="1" s="55">
      <c r="A20" s="70" t="inlineStr">
        <is>
          <t>root_status</t>
        </is>
      </c>
      <c r="B20" s="70" t="inlineStr">
        <is>
          <t>Root Status</t>
        </is>
      </c>
      <c r="C20" s="70" t="inlineStr">
        <is>
          <t>root_status</t>
        </is>
      </c>
      <c r="D20" s="70" t="inlineStr">
        <is>
          <t>root_status</t>
        </is>
      </c>
      <c r="E20" s="70" t="inlineStr">
        <is>
          <t>String</t>
        </is>
      </c>
      <c r="F20" s="70" t="inlineStr">
        <is>
          <t>Read</t>
        </is>
      </c>
      <c r="G20" s="70" t="inlineStr">
        <is>
          <t>Y</t>
        </is>
      </c>
      <c r="H20" s="70" t="n"/>
      <c r="I20" s="70" t="inlineStr">
        <is>
          <t>ESTABLISHED</t>
        </is>
      </c>
      <c r="J20" s="77" t="inlineStr">
        <is>
          <t>ok</t>
        </is>
      </c>
      <c r="K20" s="70" t="n"/>
    </row>
    <row r="21" ht="21.75" customHeight="1" s="55">
      <c r="A21" s="61" t="inlineStr">
        <is>
          <t>workflow_status</t>
        </is>
      </c>
      <c r="B21" s="61" t="inlineStr">
        <is>
          <t>Workflow Status</t>
        </is>
      </c>
      <c r="C21" s="61" t="inlineStr">
        <is>
          <t>workflow_info.workflow_status</t>
        </is>
      </c>
      <c r="D21" s="61" t="inlineStr">
        <is>
          <t>workflow_status</t>
        </is>
      </c>
      <c r="E21" s="61" t="inlineStr">
        <is>
          <t>String</t>
        </is>
      </c>
      <c r="F21" s="61" t="inlineStr">
        <is>
          <t>Read</t>
        </is>
      </c>
      <c r="G21" s="61" t="inlineStr">
        <is>
          <t>Y</t>
        </is>
      </c>
      <c r="H21" s="61" t="n"/>
      <c r="I21" s="61" t="inlineStr">
        <is>
          <t>VALID</t>
        </is>
      </c>
      <c r="J21" s="77" t="inlineStr">
        <is>
          <t>ok</t>
        </is>
      </c>
      <c r="K21" s="61" t="n"/>
    </row>
    <row r="22" ht="21.75" customHeight="1" s="55">
      <c r="A22" s="70" t="inlineStr">
        <is>
          <t>workflow_org</t>
        </is>
      </c>
      <c r="B22" s="70" t="inlineStr">
        <is>
          <t>Workflow Org</t>
        </is>
      </c>
      <c r="C22" s="70" t="inlineStr">
        <is>
          <t>workflow_info.current_workflow_organisation</t>
        </is>
      </c>
      <c r="D22" s="70" t="inlineStr">
        <is>
          <t>workflow_org</t>
        </is>
      </c>
      <c r="E22" s="70" t="inlineStr">
        <is>
          <t>String</t>
        </is>
      </c>
      <c r="F22" s="70" t="inlineStr">
        <is>
          <t>Read</t>
        </is>
      </c>
      <c r="G22" s="70" t="inlineStr">
        <is>
          <t>N</t>
        </is>
      </c>
      <c r="H22" s="70" t="n"/>
      <c r="I22" s="70" t="inlineStr">
        <is>
          <t>EEAS</t>
        </is>
      </c>
      <c r="J22" s="77" t="inlineStr">
        <is>
          <t>ok</t>
        </is>
      </c>
      <c r="K22" s="70" t="n"/>
    </row>
    <row r="23" ht="21.75" customHeight="1" s="55">
      <c r="A23" s="61" t="inlineStr">
        <is>
          <t>central_status</t>
        </is>
      </c>
      <c r="B23" s="61" t="inlineStr">
        <is>
          <t>Central Status</t>
        </is>
      </c>
      <c r="C23" s="61" t="inlineStr">
        <is>
          <t>workflow_info.central_references[].central_status</t>
        </is>
      </c>
      <c r="D23" s="61" t="inlineStr">
        <is>
          <t>central_status</t>
        </is>
      </c>
      <c r="E23" s="61" t="inlineStr">
        <is>
          <t>String</t>
        </is>
      </c>
      <c r="F23" s="61" t="inlineStr">
        <is>
          <t>Read</t>
        </is>
      </c>
      <c r="G23" s="61" t="inlineStr">
        <is>
          <t>Y</t>
        </is>
      </c>
      <c r="H23" s="61" t="n"/>
      <c r="I23" s="61" t="inlineStr">
        <is>
          <t>VALID</t>
        </is>
      </c>
      <c r="J23" s="77" t="inlineStr">
        <is>
          <t>ok</t>
        </is>
      </c>
      <c r="K23" s="61" t="n"/>
    </row>
    <row r="24" ht="21.75" customHeight="1" s="55">
      <c r="A24" s="70" t="inlineStr">
        <is>
          <t>contractor_lef_key</t>
        </is>
      </c>
      <c r="B24" s="70" t="inlineStr">
        <is>
          <t>Contractor LEF Key</t>
        </is>
      </c>
      <c r="C24" s="70" t="inlineStr">
        <is>
          <t>contractors[].legal_entity_local_key</t>
        </is>
      </c>
      <c r="D24" s="70" t="inlineStr">
        <is>
          <t>contractor_lef</t>
        </is>
      </c>
      <c r="E24" s="70" t="inlineStr">
        <is>
          <t>String</t>
        </is>
      </c>
      <c r="F24" s="70" t="inlineStr">
        <is>
          <t>Read</t>
        </is>
      </c>
      <c r="G24" s="70" t="inlineStr">
        <is>
          <t>Y</t>
        </is>
      </c>
      <c r="H24" s="70" t="n"/>
      <c r="I24" s="70" t="inlineStr">
        <is>
          <t>6000807055</t>
        </is>
      </c>
      <c r="J24" s="77" t="inlineStr">
        <is>
          <t>ok</t>
        </is>
      </c>
      <c r="K24" s="70" t="inlineStr">
        <is>
          <t>Triggers LEF API call</t>
        </is>
      </c>
    </row>
    <row r="25" ht="21.75" customHeight="1" s="55">
      <c r="A25" s="61" t="inlineStr">
        <is>
          <t>contractor_baf_key</t>
        </is>
      </c>
      <c r="B25" s="61" t="inlineStr">
        <is>
          <t>Contractor BAF Key</t>
        </is>
      </c>
      <c r="C25" s="61" t="inlineStr">
        <is>
          <t>contractors[].bank_account_local_key</t>
        </is>
      </c>
      <c r="D25" s="61" t="inlineStr">
        <is>
          <t>contractor_baf</t>
        </is>
      </c>
      <c r="E25" s="61" t="inlineStr">
        <is>
          <t>String</t>
        </is>
      </c>
      <c r="F25" s="61" t="inlineStr">
        <is>
          <t>Read</t>
        </is>
      </c>
      <c r="G25" s="61" t="inlineStr">
        <is>
          <t>Y</t>
        </is>
      </c>
      <c r="H25" s="61" t="n"/>
      <c r="I25" s="61" t="inlineStr">
        <is>
          <t>0003030047</t>
        </is>
      </c>
      <c r="J25" s="77" t="inlineStr">
        <is>
          <t>ok</t>
        </is>
      </c>
      <c r="K25" s="61" t="inlineStr">
        <is>
          <t>Triggers BAF API call</t>
        </is>
      </c>
    </row>
    <row r="26" ht="21.75" customHeight="1" s="55">
      <c r="A26" s="70" t="inlineStr">
        <is>
          <t>commitment_bcl_keys</t>
        </is>
      </c>
      <c r="B26" s="70" t="inlineStr">
        <is>
          <t>Budget Commitment Keys</t>
        </is>
      </c>
      <c r="C26" s="70" t="inlineStr">
        <is>
          <t>commitment_local_keys[]</t>
        </is>
      </c>
      <c r="D26" s="70" t="inlineStr">
        <is>
          <t>bcl_keys</t>
        </is>
      </c>
      <c r="E26" s="70" t="inlineStr">
        <is>
          <t>Array</t>
        </is>
      </c>
      <c r="F26" s="70" t="inlineStr">
        <is>
          <t>Read</t>
        </is>
      </c>
      <c r="G26" s="70" t="inlineStr">
        <is>
          <t>N</t>
        </is>
      </c>
      <c r="H26" s="70" t="n"/>
      <c r="I26" s="70" t="n"/>
      <c r="J26" s="77" t="inlineStr">
        <is>
          <t>ok</t>
        </is>
      </c>
      <c r="K26" s="70" t="n"/>
    </row>
    <row r="27" ht="21.75" customHeight="1" s="55">
      <c r="A27" s="61" t="inlineStr">
        <is>
          <t>indexation_flag</t>
        </is>
      </c>
      <c r="B27" s="61" t="inlineStr">
        <is>
          <t>Indexation Flag</t>
        </is>
      </c>
      <c r="C27" s="61" t="inlineStr">
        <is>
          <t>indexation_flag</t>
        </is>
      </c>
      <c r="D27" s="61" t="inlineStr">
        <is>
          <t>indexation_flag</t>
        </is>
      </c>
      <c r="E27" s="61" t="inlineStr">
        <is>
          <t>Boolean</t>
        </is>
      </c>
      <c r="F27" s="61" t="inlineStr">
        <is>
          <t>Read</t>
        </is>
      </c>
      <c r="G27" s="61" t="inlineStr">
        <is>
          <t>N</t>
        </is>
      </c>
      <c r="H27" s="61" t="n"/>
      <c r="I27" s="61" t="inlineStr">
        <is>
          <t>false</t>
        </is>
      </c>
      <c r="J27" s="77" t="inlineStr">
        <is>
          <t>ok</t>
        </is>
      </c>
      <c r="K27" s="61" t="n"/>
    </row>
    <row r="28" ht="21.75" customHeight="1" s="55">
      <c r="A28" s="70" t="inlineStr">
        <is>
          <t>notice_period</t>
        </is>
      </c>
      <c r="B28" s="70" t="inlineStr">
        <is>
          <t>Notice Period</t>
        </is>
      </c>
      <c r="C28" s="70" t="inlineStr">
        <is>
          <t>N/A</t>
        </is>
      </c>
      <c r="D28" s="70" t="inlineStr">
        <is>
          <t>notice_period</t>
        </is>
      </c>
      <c r="E28" s="70" t="inlineStr">
        <is>
          <t>Integer</t>
        </is>
      </c>
      <c r="F28" s="70" t="inlineStr">
        <is>
          <t>Edit</t>
        </is>
      </c>
      <c r="G28" s="70" t="inlineStr">
        <is>
          <t>N</t>
        </is>
      </c>
      <c r="H28" s="70" t="n"/>
      <c r="I28" s="70" t="n"/>
      <c r="J28" s="78" t="inlineStr">
        <is>
          <t>TBI</t>
        </is>
      </c>
      <c r="K28" s="70" t="inlineStr">
        <is>
          <t>Not found in FH response</t>
        </is>
      </c>
    </row>
    <row r="29" ht="21.75" customHeight="1" s="55">
      <c r="A29" s="61" t="inlineStr">
        <is>
          <t>deposit_amount</t>
        </is>
      </c>
      <c r="B29" s="61" t="inlineStr">
        <is>
          <t>Deposit Amount</t>
        </is>
      </c>
      <c r="C29" s="61" t="inlineStr">
        <is>
          <t>N/A</t>
        </is>
      </c>
      <c r="D29" s="61" t="inlineStr">
        <is>
          <t>deposit_amount</t>
        </is>
      </c>
      <c r="E29" s="61" t="inlineStr">
        <is>
          <t>Decimal</t>
        </is>
      </c>
      <c r="F29" s="61" t="inlineStr">
        <is>
          <t>Edit</t>
        </is>
      </c>
      <c r="G29" s="61" t="inlineStr">
        <is>
          <t>N</t>
        </is>
      </c>
      <c r="H29" s="61" t="n"/>
      <c r="I29" s="61" t="n"/>
      <c r="J29" s="78" t="inlineStr">
        <is>
          <t>TBI</t>
        </is>
      </c>
      <c r="K29" s="61" t="inlineStr">
        <is>
          <t>Not found in FH response</t>
        </is>
      </c>
    </row>
    <row r="30" ht="21.75" customHeight="1" s="55">
      <c r="A30" s="70" t="inlineStr">
        <is>
          <t>deposit_type</t>
        </is>
      </c>
      <c r="B30" s="70" t="inlineStr">
        <is>
          <t>Deposit Type</t>
        </is>
      </c>
      <c r="C30" s="70" t="inlineStr">
        <is>
          <t>N/A</t>
        </is>
      </c>
      <c r="D30" s="70" t="inlineStr">
        <is>
          <t>deposit_type</t>
        </is>
      </c>
      <c r="E30" s="70" t="inlineStr">
        <is>
          <t>String</t>
        </is>
      </c>
      <c r="F30" s="70" t="inlineStr">
        <is>
          <t>Edit</t>
        </is>
      </c>
      <c r="G30" s="70" t="inlineStr">
        <is>
          <t>N</t>
        </is>
      </c>
      <c r="H30" s="70" t="n"/>
      <c r="I30" s="70" t="n"/>
      <c r="J30" s="78" t="inlineStr">
        <is>
          <t>TBI</t>
        </is>
      </c>
      <c r="K30" s="70" t="inlineStr">
        <is>
          <t>Not found in FH response</t>
        </is>
      </c>
    </row>
    <row r="31" ht="21.75" customHeight="1" s="55">
      <c r="A31" s="61" t="inlineStr">
        <is>
          <t>agency_fees</t>
        </is>
      </c>
      <c r="B31" s="61" t="inlineStr">
        <is>
          <t>Agency Fees</t>
        </is>
      </c>
      <c r="C31" s="61" t="inlineStr">
        <is>
          <t>N/A</t>
        </is>
      </c>
      <c r="D31" s="61" t="inlineStr">
        <is>
          <t>agency_fees</t>
        </is>
      </c>
      <c r="E31" s="61" t="inlineStr">
        <is>
          <t>Decimal</t>
        </is>
      </c>
      <c r="F31" s="61" t="inlineStr">
        <is>
          <t>Edit</t>
        </is>
      </c>
      <c r="G31" s="61" t="inlineStr">
        <is>
          <t>N</t>
        </is>
      </c>
      <c r="H31" s="61" t="n"/>
      <c r="I31" s="61" t="n"/>
      <c r="J31" s="78" t="inlineStr">
        <is>
          <t>TBI</t>
        </is>
      </c>
      <c r="K31" s="61" t="inlineStr">
        <is>
          <t>Not found in FH response</t>
        </is>
      </c>
    </row>
    <row r="32" ht="21.75" customHeight="1" s="55">
      <c r="A32" s="70" t="inlineStr">
        <is>
          <t>charges_amount</t>
        </is>
      </c>
      <c r="B32" s="70" t="inlineStr">
        <is>
          <t>Charges Amount</t>
        </is>
      </c>
      <c r="C32" s="70" t="inlineStr">
        <is>
          <t>N/A</t>
        </is>
      </c>
      <c r="D32" s="70" t="inlineStr">
        <is>
          <t>charges_amount</t>
        </is>
      </c>
      <c r="E32" s="70" t="inlineStr">
        <is>
          <t>Decimal</t>
        </is>
      </c>
      <c r="F32" s="70" t="inlineStr">
        <is>
          <t>Edit</t>
        </is>
      </c>
      <c r="G32" s="70" t="inlineStr">
        <is>
          <t>N</t>
        </is>
      </c>
      <c r="H32" s="70" t="n"/>
      <c r="I32" s="70" t="n"/>
      <c r="J32" s="78" t="inlineStr">
        <is>
          <t>TBI</t>
        </is>
      </c>
      <c r="K32" s="70" t="inlineStr">
        <is>
          <t>Separate from rent - not identified in FH</t>
        </is>
      </c>
    </row>
    <row r="33" ht="21.75" customHeight="1" s="55">
      <c r="A33" s="61" t="inlineStr">
        <is>
          <t>land_plot_value</t>
        </is>
      </c>
      <c r="B33" s="61" t="inlineStr">
        <is>
          <t>Land Plot Value</t>
        </is>
      </c>
      <c r="C33" s="61" t="inlineStr">
        <is>
          <t>N/A</t>
        </is>
      </c>
      <c r="D33" s="61" t="inlineStr">
        <is>
          <t>land_plot_value</t>
        </is>
      </c>
      <c r="E33" s="61" t="inlineStr">
        <is>
          <t>Decimal</t>
        </is>
      </c>
      <c r="F33" s="61" t="inlineStr">
        <is>
          <t>Edit</t>
        </is>
      </c>
      <c r="G33" s="61" t="inlineStr">
        <is>
          <t>N</t>
        </is>
      </c>
      <c r="H33" s="61" t="n"/>
      <c r="I33" s="61" t="n"/>
      <c r="J33" s="78" t="inlineStr">
        <is>
          <t>TBI</t>
        </is>
      </c>
      <c r="K33" s="61" t="inlineStr">
        <is>
          <t>Purchase-specific - not found in FH</t>
        </is>
      </c>
    </row>
    <row r="34" ht="21.75" customHeight="1" s="55">
      <c r="A34" s="70" t="inlineStr">
        <is>
          <t>gifted_status</t>
        </is>
      </c>
      <c r="B34" s="70" t="inlineStr">
        <is>
          <t>Gifted Status</t>
        </is>
      </c>
      <c r="C34" s="70" t="inlineStr">
        <is>
          <t>N/A</t>
        </is>
      </c>
      <c r="D34" s="70" t="inlineStr">
        <is>
          <t>gifted_flag</t>
        </is>
      </c>
      <c r="E34" s="70" t="inlineStr">
        <is>
          <t>Boolean</t>
        </is>
      </c>
      <c r="F34" s="70" t="inlineStr">
        <is>
          <t>Edit</t>
        </is>
      </c>
      <c r="G34" s="70" t="inlineStr">
        <is>
          <t>N</t>
        </is>
      </c>
      <c r="H34" s="70" t="n"/>
      <c r="I34" s="70" t="n"/>
      <c r="J34" s="78" t="inlineStr">
        <is>
          <t>TBI</t>
        </is>
      </c>
      <c r="K34" s="70" t="inlineStr">
        <is>
          <t>Purchase-specific flag missing</t>
        </is>
      </c>
    </row>
    <row r="35" ht="21.75" customHeight="1" s="55">
      <c r="A35" s="61" t="inlineStr">
        <is>
          <t>early_warning</t>
        </is>
      </c>
      <c r="B35" s="61" t="inlineStr">
        <is>
          <t>Early Warning</t>
        </is>
      </c>
      <c r="C35" s="61" t="inlineStr">
        <is>
          <t>earlyWarning[]</t>
        </is>
      </c>
      <c r="D35" s="61" t="inlineStr">
        <is>
          <t>early_warning</t>
        </is>
      </c>
      <c r="E35" s="61" t="inlineStr">
        <is>
          <t>Array</t>
        </is>
      </c>
      <c r="F35" s="61" t="inlineStr">
        <is>
          <t>Read</t>
        </is>
      </c>
      <c r="G35" s="61" t="inlineStr">
        <is>
          <t>Y</t>
        </is>
      </c>
      <c r="H35" s="68" t="inlineStr">
        <is>
          <t>BR055</t>
        </is>
      </c>
      <c r="I35" s="61" t="inlineStr">
        <is>
          <t>[]</t>
        </is>
      </c>
      <c r="J35" s="77" t="inlineStr">
        <is>
          <t>ok</t>
        </is>
      </c>
      <c r="K35" s="61" t="inlineStr">
        <is>
          <t>MUST BE EMPTY for contract to proceed</t>
        </is>
      </c>
    </row>
    <row r="36" ht="21.75" customHeight="1" s="55">
      <c r="A36" s="70" t="inlineStr">
        <is>
          <t>warning_type</t>
        </is>
      </c>
      <c r="B36" s="70" t="inlineStr">
        <is>
          <t>Warning Type</t>
        </is>
      </c>
      <c r="C36" s="70" t="inlineStr">
        <is>
          <t>earlyWarning[].type</t>
        </is>
      </c>
      <c r="D36" s="70" t="inlineStr">
        <is>
          <t>warning_type</t>
        </is>
      </c>
      <c r="E36" s="70" t="inlineStr">
        <is>
          <t>String</t>
        </is>
      </c>
      <c r="F36" s="70" t="inlineStr">
        <is>
          <t>Read</t>
        </is>
      </c>
      <c r="G36" s="70" t="inlineStr">
        <is>
          <t>N</t>
        </is>
      </c>
      <c r="H36" s="70" t="n"/>
      <c r="I36" s="70" t="n"/>
      <c r="J36" s="77" t="inlineStr">
        <is>
          <t>ok</t>
        </is>
      </c>
      <c r="K36" s="70" t="inlineStr">
        <is>
          <t>Sanction type code</t>
        </is>
      </c>
    </row>
    <row r="37" ht="21.75" customHeight="1" s="55">
      <c r="A37" s="61" t="inlineStr">
        <is>
          <t>warning_desc</t>
        </is>
      </c>
      <c r="B37" s="61" t="inlineStr">
        <is>
          <t>Warning Description</t>
        </is>
      </c>
      <c r="C37" s="61" t="inlineStr">
        <is>
          <t>earlyWarning[].description</t>
        </is>
      </c>
      <c r="D37" s="61" t="inlineStr">
        <is>
          <t>warning_desc</t>
        </is>
      </c>
      <c r="E37" s="61" t="inlineStr">
        <is>
          <t>String</t>
        </is>
      </c>
      <c r="F37" s="61" t="inlineStr">
        <is>
          <t>Read</t>
        </is>
      </c>
      <c r="G37" s="61" t="inlineStr">
        <is>
          <t>N</t>
        </is>
      </c>
      <c r="H37" s="61" t="n"/>
      <c r="I37" s="61" t="n"/>
      <c r="J37" s="77" t="inlineStr">
        <is>
          <t>ok</t>
        </is>
      </c>
      <c r="K37" s="61" t="n"/>
    </row>
    <row r="38" ht="21.75" customHeight="1" s="55">
      <c r="A38" s="70" t="inlineStr">
        <is>
          <t>responsible_org</t>
        </is>
      </c>
      <c r="B38" s="70" t="inlineStr">
        <is>
          <t>Responsible Org</t>
        </is>
      </c>
      <c r="C38" s="70" t="inlineStr">
        <is>
          <t>responsible_organisation.name</t>
        </is>
      </c>
      <c r="D38" s="70" t="inlineStr">
        <is>
          <t>responsible_org</t>
        </is>
      </c>
      <c r="E38" s="70" t="inlineStr">
        <is>
          <t>String</t>
        </is>
      </c>
      <c r="F38" s="70" t="inlineStr">
        <is>
          <t>Read</t>
        </is>
      </c>
      <c r="G38" s="70" t="inlineStr">
        <is>
          <t>N</t>
        </is>
      </c>
      <c r="H38" s="70" t="n"/>
      <c r="I38" s="70" t="inlineStr">
        <is>
          <t>EEAS</t>
        </is>
      </c>
      <c r="J38" s="77" t="inlineStr">
        <is>
          <t>ok</t>
        </is>
      </c>
      <c r="K38" s="70" t="n"/>
    </row>
    <row r="39" ht="21.75" customHeight="1" s="55">
      <c r="A39" s="61" t="inlineStr">
        <is>
          <t>audit_creation_date</t>
        </is>
      </c>
      <c r="B39" s="61" t="inlineStr">
        <is>
          <t>Created Date</t>
        </is>
      </c>
      <c r="C39" s="61" t="inlineStr">
        <is>
          <t>audit_info.creation_date</t>
        </is>
      </c>
      <c r="D39" s="61" t="inlineStr">
        <is>
          <t>created_date</t>
        </is>
      </c>
      <c r="E39" s="61" t="inlineStr">
        <is>
          <t>DateTime</t>
        </is>
      </c>
      <c r="F39" s="61" t="inlineStr">
        <is>
          <t>Read</t>
        </is>
      </c>
      <c r="G39" s="61" t="inlineStr">
        <is>
          <t>N</t>
        </is>
      </c>
      <c r="H39" s="61" t="n"/>
      <c r="I39" s="61" t="inlineStr">
        <is>
          <t>2023-06-01T10:30:00</t>
        </is>
      </c>
      <c r="J39" s="77" t="inlineStr">
        <is>
          <t>ok</t>
        </is>
      </c>
      <c r="K39" s="61" t="inlineStr">
        <is>
          <t>Audit trail</t>
        </is>
      </c>
    </row>
    <row r="40" ht="21.75" customHeight="1" s="55">
      <c r="A40" s="70" t="inlineStr">
        <is>
          <t>audit_modification_date</t>
        </is>
      </c>
      <c r="B40" s="70" t="inlineStr">
        <is>
          <t>Modified Date</t>
        </is>
      </c>
      <c r="C40" s="70" t="inlineStr">
        <is>
          <t>audit_info.modification_date</t>
        </is>
      </c>
      <c r="D40" s="70" t="inlineStr">
        <is>
          <t>modified_date</t>
        </is>
      </c>
      <c r="E40" s="70" t="inlineStr">
        <is>
          <t>DateTime</t>
        </is>
      </c>
      <c r="F40" s="70" t="inlineStr">
        <is>
          <t>Read</t>
        </is>
      </c>
      <c r="G40" s="70" t="inlineStr">
        <is>
          <t>N</t>
        </is>
      </c>
      <c r="H40" s="70" t="n"/>
      <c r="I40" s="70" t="inlineStr">
        <is>
          <t>2024-01-15T14:22:00</t>
        </is>
      </c>
      <c r="J40" s="77" t="inlineStr">
        <is>
          <t>ok</t>
        </is>
      </c>
      <c r="K40" s="70" t="inlineStr">
        <is>
          <t>Audit trail</t>
        </is>
      </c>
    </row>
  </sheetData>
  <autoFilter ref="A2:K41"/>
  <mergeCells count="1">
    <mergeCell ref="A1:K1"/>
  </mergeCells>
  <conditionalFormatting sqref="J3:J41">
    <cfRule type="cellIs" rank="0" priority="2" equalAverage="0" operator="equal" aboveAverage="0" dxfId="13" text="" percent="0" bottom="0">
      <formula>"TBI"</formula>
    </cfRule>
    <cfRule type="cellIs" rank="0" priority="3" equalAverage="0" operator="equal" aboveAverage="0" dxfId="19" text="" percent="0" bottom="0">
      <formula>"Gap"</formula>
    </cfRule>
    <cfRule type="cellIs" rank="0" priority="4" equalAverage="0" operator="equal" aboveAverage="0" dxfId="14" text="" percent="0" bottom="0">
      <formula>"ok"</formula>
    </cfRule>
  </conditionalFormatting>
  <dataValidations count="4">
    <dataValidation sqref="J3:J41" showDropDown="0" showInputMessage="0" showErrorMessage="0" allowBlank="1" errorTitle="Invalid value" error="Please select a valid option" type="list" errorStyle="stop" operator="between">
      <formula1>"ok,TBI,Gap,N/A,Partial,Deprecated"</formula1>
      <formula2>0</formula2>
    </dataValidation>
    <dataValidation sqref="E3:E41" showDropDown="0" showInputMessage="0" showErrorMessage="0" allowBlank="1" errorTitle="Invalid value" error="Please select a valid option" type="list" errorStyle="stop" operator="between">
      <formula1>"String,Integer,Decimal,Boolean,Date,DateTime,Array,Object,Enum"</formula1>
      <formula2>0</formula2>
    </dataValidation>
    <dataValidation sqref="F3:F41" showDropDown="0" showInputMessage="0" showErrorMessage="0" allowBlank="1" errorTitle="Invalid value" error="Please select a valid option" type="list" errorStyle="stop" operator="between">
      <formula1>"Read,Edit,Auto,System,Calculated"</formula1>
      <formula2>0</formula2>
    </dataValidation>
    <dataValidation sqref="G3:G41" showDropDown="0" showInputMessage="0" showErrorMessage="0" allowBlank="1" errorTitle="Invalid value" error="Please select a valid option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0369A1"/>
    <outlinePr summaryBelow="1" summaryRight="1"/>
    <pageSetUpPr fitToPage="0"/>
  </sheetPr>
  <dimension ref="A1:K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54" min="1" max="1"/>
    <col width="18" customWidth="1" style="54" min="2" max="2"/>
    <col width="28" customWidth="1" style="54" min="3" max="3"/>
    <col width="18" customWidth="1" style="54" min="4" max="4"/>
    <col width="10" customWidth="1" style="54" min="5" max="7"/>
    <col width="8" customWidth="1" style="54" min="8" max="8"/>
    <col width="16" customWidth="1" style="54" min="9" max="9"/>
    <col width="12" customWidth="1" style="54" min="10" max="10"/>
    <col width="30" customWidth="1" style="54" min="11" max="11"/>
  </cols>
  <sheetData>
    <row r="1" ht="25.5" customHeight="1" s="55">
      <c r="A1" s="75" t="inlineStr">
        <is>
          <t>Legal Entity (LEF): 20 fields | 18 ok | 0 TBI | 2 Gap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8" t="n"/>
    </row>
    <row r="2" ht="31.5" customHeight="1" s="55">
      <c r="A2" s="76" t="inlineStr">
        <is>
          <t>Field_Name</t>
        </is>
      </c>
      <c r="B2" s="76" t="inlineStr">
        <is>
          <t>Label</t>
        </is>
      </c>
      <c r="C2" s="76" t="inlineStr">
        <is>
          <t>Source_Path</t>
        </is>
      </c>
      <c r="D2" s="76" t="inlineStr">
        <is>
          <t>Target_Field</t>
        </is>
      </c>
      <c r="E2" s="76" t="inlineStr">
        <is>
          <t>Data_Type</t>
        </is>
      </c>
      <c r="F2" s="76" t="inlineStr">
        <is>
          <t>Edit_Mode</t>
        </is>
      </c>
      <c r="G2" s="76" t="inlineStr">
        <is>
          <t>Mandatory</t>
        </is>
      </c>
      <c r="H2" s="76" t="inlineStr">
        <is>
          <t>BR_Ref</t>
        </is>
      </c>
      <c r="I2" s="76" t="inlineStr">
        <is>
          <t>Sample_Value</t>
        </is>
      </c>
      <c r="J2" s="76" t="inlineStr">
        <is>
          <t>Migration_Status</t>
        </is>
      </c>
      <c r="K2" s="76" t="inlineStr">
        <is>
          <t>Compliance_Note</t>
        </is>
      </c>
    </row>
    <row r="3" ht="21.75" customHeight="1" s="55">
      <c r="A3" s="61" t="inlineStr">
        <is>
          <t>lef_local_key</t>
        </is>
      </c>
      <c r="B3" s="61" t="inlineStr">
        <is>
          <t>LEF Reference</t>
        </is>
      </c>
      <c r="C3" s="61" t="inlineStr">
        <is>
          <t>local_key</t>
        </is>
      </c>
      <c r="D3" s="61" t="inlineStr">
        <is>
          <t>lef_reference</t>
        </is>
      </c>
      <c r="E3" s="61" t="inlineStr">
        <is>
          <t>String</t>
        </is>
      </c>
      <c r="F3" s="61" t="inlineStr">
        <is>
          <t>Read</t>
        </is>
      </c>
      <c r="G3" s="61" t="inlineStr">
        <is>
          <t>Y</t>
        </is>
      </c>
      <c r="H3" s="68" t="inlineStr">
        <is>
          <t>BR054</t>
        </is>
      </c>
      <c r="I3" s="61" t="inlineStr">
        <is>
          <t>6000740916</t>
        </is>
      </c>
      <c r="J3" s="77" t="inlineStr">
        <is>
          <t>ok</t>
        </is>
      </c>
      <c r="K3" s="61" t="n"/>
    </row>
    <row r="4" ht="21.75" customHeight="1" s="55">
      <c r="A4" s="70" t="inlineStr">
        <is>
          <t>lef_type</t>
        </is>
      </c>
      <c r="B4" s="70" t="inlineStr">
        <is>
          <t>Entity Type</t>
        </is>
      </c>
      <c r="C4" s="70" t="inlineStr">
        <is>
          <t>_type</t>
        </is>
      </c>
      <c r="D4" s="70" t="inlineStr">
        <is>
          <t>entity_type</t>
        </is>
      </c>
      <c r="E4" s="70" t="inlineStr">
        <is>
          <t>String</t>
        </is>
      </c>
      <c r="F4" s="70" t="inlineStr">
        <is>
          <t>Read</t>
        </is>
      </c>
      <c r="G4" s="70" t="inlineStr">
        <is>
          <t>Y</t>
        </is>
      </c>
      <c r="H4" s="69" t="inlineStr">
        <is>
          <t>BR054</t>
        </is>
      </c>
      <c r="I4" s="70" t="inlineStr">
        <is>
          <t>PrivatePersonR</t>
        </is>
      </c>
      <c r="J4" s="77" t="inlineStr">
        <is>
          <t>ok</t>
        </is>
      </c>
      <c r="K4" s="70" t="inlineStr">
        <is>
          <t>Polymorphic: PrivatePersonR/PublicLawBodyR/PrivateLawBodyR/StaffMemberR</t>
        </is>
      </c>
    </row>
    <row r="5" ht="21.75" customHeight="1" s="55">
      <c r="A5" s="61" t="inlineStr">
        <is>
          <t>lef_account_group</t>
        </is>
      </c>
      <c r="B5" s="61" t="inlineStr">
        <is>
          <t>Account Group</t>
        </is>
      </c>
      <c r="C5" s="61" t="inlineStr">
        <is>
          <t>account_group_code</t>
        </is>
      </c>
      <c r="D5" s="61" t="inlineStr">
        <is>
          <t>account_group</t>
        </is>
      </c>
      <c r="E5" s="61" t="inlineStr">
        <is>
          <t>String</t>
        </is>
      </c>
      <c r="F5" s="61" t="inlineStr">
        <is>
          <t>Read</t>
        </is>
      </c>
      <c r="G5" s="61" t="inlineStr">
        <is>
          <t>N</t>
        </is>
      </c>
      <c r="H5" s="61" t="n"/>
      <c r="I5" s="61" t="inlineStr">
        <is>
          <t>LE09</t>
        </is>
      </c>
      <c r="J5" s="77" t="inlineStr">
        <is>
          <t>ok</t>
        </is>
      </c>
      <c r="K5" s="61" t="n"/>
    </row>
    <row r="6" ht="21.75" customHeight="1" s="55">
      <c r="A6" s="70" t="inlineStr">
        <is>
          <t>lef_language</t>
        </is>
      </c>
      <c r="B6" s="70" t="inlineStr">
        <is>
          <t>Language</t>
        </is>
      </c>
      <c r="C6" s="70" t="inlineStr">
        <is>
          <t>language_code</t>
        </is>
      </c>
      <c r="D6" s="70" t="inlineStr">
        <is>
          <t>language</t>
        </is>
      </c>
      <c r="E6" s="70" t="inlineStr">
        <is>
          <t>String</t>
        </is>
      </c>
      <c r="F6" s="70" t="inlineStr">
        <is>
          <t>Read</t>
        </is>
      </c>
      <c r="G6" s="70" t="inlineStr">
        <is>
          <t>N</t>
        </is>
      </c>
      <c r="H6" s="70" t="n"/>
      <c r="I6" s="70" t="inlineStr">
        <is>
          <t>EN</t>
        </is>
      </c>
      <c r="J6" s="77" t="inlineStr">
        <is>
          <t>ok</t>
        </is>
      </c>
      <c r="K6" s="70" t="n"/>
    </row>
    <row r="7" ht="21.75" customHeight="1" s="55">
      <c r="A7" s="61" t="inlineStr">
        <is>
          <t>lef_name</t>
        </is>
      </c>
      <c r="B7" s="61" t="inlineStr">
        <is>
          <t>Full Name</t>
        </is>
      </c>
      <c r="C7" s="61" t="inlineStr">
        <is>
          <t>name</t>
        </is>
      </c>
      <c r="D7" s="61" t="inlineStr">
        <is>
          <t>landlord_name</t>
        </is>
      </c>
      <c r="E7" s="61" t="inlineStr">
        <is>
          <t>String</t>
        </is>
      </c>
      <c r="F7" s="61" t="inlineStr">
        <is>
          <t>Read</t>
        </is>
      </c>
      <c r="G7" s="61" t="inlineStr">
        <is>
          <t>Y</t>
        </is>
      </c>
      <c r="H7" s="61" t="n"/>
      <c r="I7" s="61" t="inlineStr">
        <is>
          <t>TEODORESCU LOREDANA CAROLINA</t>
        </is>
      </c>
      <c r="J7" s="77" t="inlineStr">
        <is>
          <t>ok</t>
        </is>
      </c>
      <c r="K7" s="61" t="inlineStr">
        <is>
          <t>GDPR - personal data</t>
        </is>
      </c>
    </row>
    <row r="8" ht="21.75" customHeight="1" s="55">
      <c r="A8" s="70" t="inlineStr">
        <is>
          <t>lef_first_name</t>
        </is>
      </c>
      <c r="B8" s="70" t="inlineStr">
        <is>
          <t>First Name</t>
        </is>
      </c>
      <c r="C8" s="70" t="inlineStr">
        <is>
          <t>first_name</t>
        </is>
      </c>
      <c r="D8" s="70" t="inlineStr">
        <is>
          <t>first_name</t>
        </is>
      </c>
      <c r="E8" s="70" t="inlineStr">
        <is>
          <t>String</t>
        </is>
      </c>
      <c r="F8" s="70" t="inlineStr">
        <is>
          <t>Read</t>
        </is>
      </c>
      <c r="G8" s="70" t="inlineStr">
        <is>
          <t>N</t>
        </is>
      </c>
      <c r="H8" s="70" t="n"/>
      <c r="I8" s="70" t="inlineStr">
        <is>
          <t>LOREDANA CAROLINA</t>
        </is>
      </c>
      <c r="J8" s="77" t="inlineStr">
        <is>
          <t>ok</t>
        </is>
      </c>
      <c r="K8" s="70" t="inlineStr">
        <is>
          <t>GDPR</t>
        </is>
      </c>
    </row>
    <row r="9" ht="21.75" customHeight="1" s="55">
      <c r="A9" s="61" t="inlineStr">
        <is>
          <t>lef_last_name</t>
        </is>
      </c>
      <c r="B9" s="61" t="inlineStr">
        <is>
          <t>Last Name</t>
        </is>
      </c>
      <c r="C9" s="61" t="inlineStr">
        <is>
          <t>last_name</t>
        </is>
      </c>
      <c r="D9" s="61" t="inlineStr">
        <is>
          <t>last_name</t>
        </is>
      </c>
      <c r="E9" s="61" t="inlineStr">
        <is>
          <t>String</t>
        </is>
      </c>
      <c r="F9" s="61" t="inlineStr">
        <is>
          <t>Read</t>
        </is>
      </c>
      <c r="G9" s="61" t="inlineStr">
        <is>
          <t>N</t>
        </is>
      </c>
      <c r="H9" s="61" t="n"/>
      <c r="I9" s="61" t="inlineStr">
        <is>
          <t>TEODORESCU</t>
        </is>
      </c>
      <c r="J9" s="77" t="inlineStr">
        <is>
          <t>ok</t>
        </is>
      </c>
      <c r="K9" s="61" t="inlineStr">
        <is>
          <t>GDPR</t>
        </is>
      </c>
    </row>
    <row r="10" ht="21.75" customHeight="1" s="55">
      <c r="A10" s="70" t="inlineStr">
        <is>
          <t>lef_country</t>
        </is>
      </c>
      <c r="B10" s="70" t="inlineStr">
        <is>
          <t>Country</t>
        </is>
      </c>
      <c r="C10" s="70" t="inlineStr">
        <is>
          <t>country_code</t>
        </is>
      </c>
      <c r="D10" s="70" t="inlineStr">
        <is>
          <t>country</t>
        </is>
      </c>
      <c r="E10" s="70" t="inlineStr">
        <is>
          <t>String</t>
        </is>
      </c>
      <c r="F10" s="70" t="inlineStr">
        <is>
          <t>Read</t>
        </is>
      </c>
      <c r="G10" s="70" t="inlineStr">
        <is>
          <t>N</t>
        </is>
      </c>
      <c r="H10" s="70" t="n"/>
      <c r="I10" s="70" t="inlineStr">
        <is>
          <t>IT</t>
        </is>
      </c>
      <c r="J10" s="77" t="inlineStr">
        <is>
          <t>ok</t>
        </is>
      </c>
      <c r="K10" s="70" t="n"/>
    </row>
    <row r="11" ht="21.75" customHeight="1" s="55">
      <c r="A11" s="61" t="inlineStr">
        <is>
          <t>lef_address_street</t>
        </is>
      </c>
      <c r="B11" s="61" t="inlineStr">
        <is>
          <t>Street</t>
        </is>
      </c>
      <c r="C11" s="61" t="inlineStr">
        <is>
          <t>official_address.street</t>
        </is>
      </c>
      <c r="D11" s="61" t="inlineStr">
        <is>
          <t>address_street</t>
        </is>
      </c>
      <c r="E11" s="61" t="inlineStr">
        <is>
          <t>String</t>
        </is>
      </c>
      <c r="F11" s="61" t="inlineStr">
        <is>
          <t>Read</t>
        </is>
      </c>
      <c r="G11" s="61" t="inlineStr">
        <is>
          <t>N</t>
        </is>
      </c>
      <c r="H11" s="61" t="n"/>
      <c r="I11" s="61" t="inlineStr">
        <is>
          <t>Via Roma 42</t>
        </is>
      </c>
      <c r="J11" s="77" t="inlineStr">
        <is>
          <t>ok</t>
        </is>
      </c>
      <c r="K11" s="61" t="n"/>
    </row>
    <row r="12" ht="21.75" customHeight="1" s="55">
      <c r="A12" s="70" t="inlineStr">
        <is>
          <t>lef_address_city</t>
        </is>
      </c>
      <c r="B12" s="70" t="inlineStr">
        <is>
          <t>City</t>
        </is>
      </c>
      <c r="C12" s="70" t="inlineStr">
        <is>
          <t>official_address.city</t>
        </is>
      </c>
      <c r="D12" s="70" t="inlineStr">
        <is>
          <t>address_city</t>
        </is>
      </c>
      <c r="E12" s="70" t="inlineStr">
        <is>
          <t>String</t>
        </is>
      </c>
      <c r="F12" s="70" t="inlineStr">
        <is>
          <t>Read</t>
        </is>
      </c>
      <c r="G12" s="70" t="inlineStr">
        <is>
          <t>N</t>
        </is>
      </c>
      <c r="H12" s="70" t="n"/>
      <c r="I12" s="70" t="inlineStr">
        <is>
          <t>Milano</t>
        </is>
      </c>
      <c r="J12" s="77" t="inlineStr">
        <is>
          <t>ok</t>
        </is>
      </c>
      <c r="K12" s="70" t="n"/>
    </row>
    <row r="13" ht="21.75" customHeight="1" s="55">
      <c r="A13" s="61" t="inlineStr">
        <is>
          <t>lef_address_postal</t>
        </is>
      </c>
      <c r="B13" s="61" t="inlineStr">
        <is>
          <t>Postal Code</t>
        </is>
      </c>
      <c r="C13" s="61" t="inlineStr">
        <is>
          <t>official_address.postal_code</t>
        </is>
      </c>
      <c r="D13" s="61" t="inlineStr">
        <is>
          <t>address_postal</t>
        </is>
      </c>
      <c r="E13" s="61" t="inlineStr">
        <is>
          <t>String</t>
        </is>
      </c>
      <c r="F13" s="61" t="inlineStr">
        <is>
          <t>Read</t>
        </is>
      </c>
      <c r="G13" s="61" t="inlineStr">
        <is>
          <t>N</t>
        </is>
      </c>
      <c r="H13" s="61" t="n"/>
      <c r="I13" s="61" t="inlineStr">
        <is>
          <t>20121</t>
        </is>
      </c>
      <c r="J13" s="77" t="inlineStr">
        <is>
          <t>ok</t>
        </is>
      </c>
      <c r="K13" s="61" t="n"/>
    </row>
    <row r="14" ht="21.75" customHeight="1" s="55">
      <c r="A14" s="70" t="inlineStr">
        <is>
          <t>lef_national_id</t>
        </is>
      </c>
      <c r="B14" s="70" t="inlineStr">
        <is>
          <t>National ID</t>
        </is>
      </c>
      <c r="C14" s="70" t="inlineStr">
        <is>
          <t>national_id_number</t>
        </is>
      </c>
      <c r="D14" s="70" t="inlineStr">
        <is>
          <t>national_id</t>
        </is>
      </c>
      <c r="E14" s="70" t="inlineStr">
        <is>
          <t>String</t>
        </is>
      </c>
      <c r="F14" s="70" t="inlineStr">
        <is>
          <t>Read</t>
        </is>
      </c>
      <c r="G14" s="70" t="inlineStr">
        <is>
          <t>N</t>
        </is>
      </c>
      <c r="H14" s="70" t="n"/>
      <c r="I14" s="70" t="inlineStr">
        <is>
          <t>YB1814155</t>
        </is>
      </c>
      <c r="J14" s="77" t="inlineStr">
        <is>
          <t>ok</t>
        </is>
      </c>
      <c r="K14" s="70" t="inlineStr">
        <is>
          <t>GDPR - sensitive</t>
        </is>
      </c>
    </row>
    <row r="15" ht="21.75" customHeight="1" s="55">
      <c r="A15" s="61" t="inlineStr">
        <is>
          <t>lef_passport</t>
        </is>
      </c>
      <c r="B15" s="61" t="inlineStr">
        <is>
          <t>Passport</t>
        </is>
      </c>
      <c r="C15" s="61" t="inlineStr">
        <is>
          <t>passport.number</t>
        </is>
      </c>
      <c r="D15" s="61" t="inlineStr">
        <is>
          <t>passport_number</t>
        </is>
      </c>
      <c r="E15" s="61" t="inlineStr">
        <is>
          <t>String</t>
        </is>
      </c>
      <c r="F15" s="61" t="inlineStr">
        <is>
          <t>Read</t>
        </is>
      </c>
      <c r="G15" s="61" t="inlineStr">
        <is>
          <t>N</t>
        </is>
      </c>
      <c r="H15" s="61" t="n"/>
      <c r="I15" s="61" t="n"/>
      <c r="J15" s="77" t="inlineStr">
        <is>
          <t>ok</t>
        </is>
      </c>
      <c r="K15" s="61" t="inlineStr">
        <is>
          <t>GDPR - sensitive</t>
        </is>
      </c>
    </row>
    <row r="16" ht="21.75" customHeight="1" s="55">
      <c r="A16" s="70" t="inlineStr">
        <is>
          <t>lef_early_warning</t>
        </is>
      </c>
      <c r="B16" s="70" t="inlineStr">
        <is>
          <t>Early Warning</t>
        </is>
      </c>
      <c r="C16" s="70" t="inlineStr">
        <is>
          <t>earlyWarning[]</t>
        </is>
      </c>
      <c r="D16" s="70" t="inlineStr">
        <is>
          <t>lef_early_warning</t>
        </is>
      </c>
      <c r="E16" s="70" t="inlineStr">
        <is>
          <t>Array</t>
        </is>
      </c>
      <c r="F16" s="70" t="inlineStr">
        <is>
          <t>Read</t>
        </is>
      </c>
      <c r="G16" s="70" t="inlineStr">
        <is>
          <t>Y</t>
        </is>
      </c>
      <c r="H16" s="69" t="inlineStr">
        <is>
          <t>BR054</t>
        </is>
      </c>
      <c r="I16" s="70" t="inlineStr">
        <is>
          <t>[]</t>
        </is>
      </c>
      <c r="J16" s="77" t="inlineStr">
        <is>
          <t>ok</t>
        </is>
      </c>
      <c r="K16" s="70" t="inlineStr">
        <is>
          <t>MUST BE EMPTY</t>
        </is>
      </c>
    </row>
    <row r="17" ht="21.75" customHeight="1" s="55">
      <c r="A17" s="61" t="inlineStr">
        <is>
          <t>lef_central_status</t>
        </is>
      </c>
      <c r="B17" s="61" t="inlineStr">
        <is>
          <t>Central Status</t>
        </is>
      </c>
      <c r="C17" s="61" t="inlineStr">
        <is>
          <t>workflow_info.central_references[].central_status</t>
        </is>
      </c>
      <c r="D17" s="61" t="inlineStr">
        <is>
          <t>lef_central_status</t>
        </is>
      </c>
      <c r="E17" s="61" t="inlineStr">
        <is>
          <t>String</t>
        </is>
      </c>
      <c r="F17" s="61" t="inlineStr">
        <is>
          <t>Read</t>
        </is>
      </c>
      <c r="G17" s="61" t="inlineStr">
        <is>
          <t>Y</t>
        </is>
      </c>
      <c r="H17" s="68" t="inlineStr">
        <is>
          <t>BR054</t>
        </is>
      </c>
      <c r="I17" s="61" t="inlineStr">
        <is>
          <t>VALID</t>
        </is>
      </c>
      <c r="J17" s="77" t="inlineStr">
        <is>
          <t>ok</t>
        </is>
      </c>
      <c r="K17" s="61" t="inlineStr">
        <is>
          <t>Must be VALID</t>
        </is>
      </c>
    </row>
    <row r="18" ht="21.75" customHeight="1" s="55">
      <c r="A18" s="70" t="inlineStr">
        <is>
          <t>lef_workflow_status</t>
        </is>
      </c>
      <c r="B18" s="70" t="inlineStr">
        <is>
          <t>Workflow Status</t>
        </is>
      </c>
      <c r="C18" s="70" t="inlineStr">
        <is>
          <t>workflow_info.workflow_status</t>
        </is>
      </c>
      <c r="D18" s="70" t="inlineStr">
        <is>
          <t>lef_workflow_status</t>
        </is>
      </c>
      <c r="E18" s="70" t="inlineStr">
        <is>
          <t>String</t>
        </is>
      </c>
      <c r="F18" s="70" t="inlineStr">
        <is>
          <t>Read</t>
        </is>
      </c>
      <c r="G18" s="70" t="inlineStr">
        <is>
          <t>Y</t>
        </is>
      </c>
      <c r="H18" s="70" t="n"/>
      <c r="I18" s="70" t="inlineStr">
        <is>
          <t>VALID</t>
        </is>
      </c>
      <c r="J18" s="77" t="inlineStr">
        <is>
          <t>ok</t>
        </is>
      </c>
      <c r="K18" s="70" t="n"/>
    </row>
    <row r="19" ht="21.75" customHeight="1" s="55">
      <c r="A19" s="61" t="inlineStr">
        <is>
          <t>lef_mailing_address</t>
        </is>
      </c>
      <c r="B19" s="61" t="inlineStr">
        <is>
          <t>Mailing Address</t>
        </is>
      </c>
      <c r="C19" s="61" t="inlineStr">
        <is>
          <t>mailingAddress</t>
        </is>
      </c>
      <c r="D19" s="61" t="inlineStr">
        <is>
          <t>lef_mailing</t>
        </is>
      </c>
      <c r="E19" s="61" t="inlineStr">
        <is>
          <t>Object</t>
        </is>
      </c>
      <c r="F19" s="61" t="inlineStr">
        <is>
          <t>Read</t>
        </is>
      </c>
      <c r="G19" s="61" t="inlineStr">
        <is>
          <t>N</t>
        </is>
      </c>
      <c r="H19" s="61" t="n"/>
      <c r="I19" s="61" t="n"/>
      <c r="J19" s="61" t="inlineStr">
        <is>
          <t>N/A</t>
        </is>
      </c>
      <c r="K19" s="61" t="inlineStr">
        <is>
          <t>Not needed for contracts - can be dropped</t>
        </is>
      </c>
    </row>
    <row r="20" ht="21.75" customHeight="1" s="55">
      <c r="A20" s="70" t="inlineStr">
        <is>
          <t>lef_original_key</t>
        </is>
      </c>
      <c r="B20" s="70" t="inlineStr">
        <is>
          <t>Original Local Key</t>
        </is>
      </c>
      <c r="C20" s="70" t="inlineStr">
        <is>
          <t>originalLocalKey</t>
        </is>
      </c>
      <c r="D20" s="70" t="inlineStr">
        <is>
          <t>lef_original_key</t>
        </is>
      </c>
      <c r="E20" s="70" t="inlineStr">
        <is>
          <t>String</t>
        </is>
      </c>
      <c r="F20" s="70" t="inlineStr">
        <is>
          <t>Read</t>
        </is>
      </c>
      <c r="G20" s="70" t="inlineStr">
        <is>
          <t>N</t>
        </is>
      </c>
      <c r="H20" s="70" t="n"/>
      <c r="I20" s="70" t="n"/>
      <c r="J20" s="70" t="inlineStr">
        <is>
          <t>N/A</t>
        </is>
      </c>
      <c r="K20" s="70" t="inlineStr">
        <is>
          <t>Pre-migration key - likely not needed</t>
        </is>
      </c>
    </row>
    <row r="21" ht="21.75" customHeight="1" s="55">
      <c r="A21" s="61" t="inlineStr">
        <is>
          <t>lef_responsible_user</t>
        </is>
      </c>
      <c r="B21" s="61" t="inlineStr">
        <is>
          <t>Responsible User</t>
        </is>
      </c>
      <c r="C21" s="61" t="inlineStr">
        <is>
          <t>responsibleUser</t>
        </is>
      </c>
      <c r="D21" s="61" t="inlineStr">
        <is>
          <t>lef_responsible</t>
        </is>
      </c>
      <c r="E21" s="61" t="inlineStr">
        <is>
          <t>Object</t>
        </is>
      </c>
      <c r="F21" s="61" t="inlineStr">
        <is>
          <t>Read</t>
        </is>
      </c>
      <c r="G21" s="61" t="inlineStr">
        <is>
          <t>N</t>
        </is>
      </c>
      <c r="H21" s="61" t="n"/>
      <c r="I21" s="61" t="n"/>
      <c r="J21" s="79" t="inlineStr">
        <is>
          <t>Gap</t>
        </is>
      </c>
      <c r="K21" s="61" t="inlineStr">
        <is>
          <t>Not in FH response - display only</t>
        </is>
      </c>
    </row>
    <row r="22" ht="21.75" customHeight="1" s="55">
      <c r="A22" s="70" t="inlineStr">
        <is>
          <t>lef_supporting_docs</t>
        </is>
      </c>
      <c r="B22" s="70" t="inlineStr">
        <is>
          <t>Supporting Documents</t>
        </is>
      </c>
      <c r="C22" s="70" t="inlineStr">
        <is>
          <t>supportingDocumentFolder</t>
        </is>
      </c>
      <c r="D22" s="70" t="inlineStr">
        <is>
          <t>lef_supporting</t>
        </is>
      </c>
      <c r="E22" s="70" t="inlineStr">
        <is>
          <t>Object</t>
        </is>
      </c>
      <c r="F22" s="70" t="inlineStr">
        <is>
          <t>Read</t>
        </is>
      </c>
      <c r="G22" s="70" t="inlineStr">
        <is>
          <t>N</t>
        </is>
      </c>
      <c r="H22" s="70" t="n"/>
      <c r="I22" s="70" t="n"/>
      <c r="J22" s="79" t="inlineStr">
        <is>
          <t>Gap</t>
        </is>
      </c>
      <c r="K22" s="70" t="inlineStr">
        <is>
          <t>Not in FH response</t>
        </is>
      </c>
    </row>
  </sheetData>
  <autoFilter ref="A2:K23"/>
  <mergeCells count="1">
    <mergeCell ref="A1:K1"/>
  </mergeCells>
  <conditionalFormatting sqref="J3:J23">
    <cfRule type="cellIs" rank="0" priority="2" equalAverage="0" operator="equal" aboveAverage="0" dxfId="13" text="" percent="0" bottom="0">
      <formula>"TBI"</formula>
    </cfRule>
    <cfRule type="cellIs" rank="0" priority="3" equalAverage="0" operator="equal" aboveAverage="0" dxfId="19" text="" percent="0" bottom="0">
      <formula>"Gap"</formula>
    </cfRule>
    <cfRule type="cellIs" rank="0" priority="4" equalAverage="0" operator="equal" aboveAverage="0" dxfId="14" text="" percent="0" bottom="0">
      <formula>"ok"</formula>
    </cfRule>
  </conditionalFormatting>
  <dataValidations count="4">
    <dataValidation sqref="J3:J23" showDropDown="0" showInputMessage="0" showErrorMessage="0" allowBlank="1" errorTitle="Invalid value" error="Please select a valid option" type="list" errorStyle="stop" operator="between">
      <formula1>"ok,TBI,Gap,N/A,Partial,Deprecated"</formula1>
      <formula2>0</formula2>
    </dataValidation>
    <dataValidation sqref="E3:E23" showDropDown="0" showInputMessage="0" showErrorMessage="0" allowBlank="1" errorTitle="Invalid value" error="Please select a valid option" type="list" errorStyle="stop" operator="between">
      <formula1>"String,Integer,Decimal,Boolean,Date,DateTime,Array,Object,Enum"</formula1>
      <formula2>0</formula2>
    </dataValidation>
    <dataValidation sqref="F3:F23" showDropDown="0" showInputMessage="0" showErrorMessage="0" allowBlank="1" errorTitle="Invalid value" error="Please select a valid option" type="list" errorStyle="stop" operator="between">
      <formula1>"Read,Edit,Auto,System,Calculated"</formula1>
      <formula2>0</formula2>
    </dataValidation>
    <dataValidation sqref="G3:G23" showDropDown="0" showInputMessage="0" showErrorMessage="0" allowBlank="1" errorTitle="Invalid value" error="Please select a valid option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0369A1"/>
    <outlinePr summaryBelow="1" summaryRight="1"/>
    <pageSetUpPr fitToPage="0"/>
  </sheetPr>
  <dimension ref="A1:K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54" min="1" max="1"/>
    <col width="18" customWidth="1" style="54" min="2" max="2"/>
    <col width="28" customWidth="1" style="54" min="3" max="3"/>
    <col width="18" customWidth="1" style="54" min="4" max="4"/>
    <col width="10" customWidth="1" style="54" min="5" max="7"/>
    <col width="8" customWidth="1" style="54" min="8" max="8"/>
    <col width="16" customWidth="1" style="54" min="9" max="9"/>
    <col width="12" customWidth="1" style="54" min="10" max="10"/>
    <col width="30" customWidth="1" style="54" min="11" max="11"/>
  </cols>
  <sheetData>
    <row r="1" ht="25.5" customHeight="1" s="55">
      <c r="A1" s="75" t="inlineStr">
        <is>
          <t>Bank Account (BAF): 15 fields | 13 ok | 0 TBI | 2 Gap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8" t="n"/>
    </row>
    <row r="2" ht="31.5" customHeight="1" s="55">
      <c r="A2" s="76" t="inlineStr">
        <is>
          <t>Field_Name</t>
        </is>
      </c>
      <c r="B2" s="76" t="inlineStr">
        <is>
          <t>Label</t>
        </is>
      </c>
      <c r="C2" s="76" t="inlineStr">
        <is>
          <t>Source_Path</t>
        </is>
      </c>
      <c r="D2" s="76" t="inlineStr">
        <is>
          <t>Target_Field</t>
        </is>
      </c>
      <c r="E2" s="76" t="inlineStr">
        <is>
          <t>Data_Type</t>
        </is>
      </c>
      <c r="F2" s="76" t="inlineStr">
        <is>
          <t>Edit_Mode</t>
        </is>
      </c>
      <c r="G2" s="76" t="inlineStr">
        <is>
          <t>Mandatory</t>
        </is>
      </c>
      <c r="H2" s="76" t="inlineStr">
        <is>
          <t>BR_Ref</t>
        </is>
      </c>
      <c r="I2" s="76" t="inlineStr">
        <is>
          <t>Sample_Value</t>
        </is>
      </c>
      <c r="J2" s="76" t="inlineStr">
        <is>
          <t>Migration_Status</t>
        </is>
      </c>
      <c r="K2" s="76" t="inlineStr">
        <is>
          <t>Compliance_Note</t>
        </is>
      </c>
    </row>
    <row r="3" ht="21.75" customHeight="1" s="55">
      <c r="A3" s="61" t="inlineStr">
        <is>
          <t>baf_local_key</t>
        </is>
      </c>
      <c r="B3" s="61" t="inlineStr">
        <is>
          <t>BAF Reference</t>
        </is>
      </c>
      <c r="C3" s="61" t="inlineStr">
        <is>
          <t>local_key</t>
        </is>
      </c>
      <c r="D3" s="61" t="inlineStr">
        <is>
          <t>baf_reference</t>
        </is>
      </c>
      <c r="E3" s="61" t="inlineStr">
        <is>
          <t>String</t>
        </is>
      </c>
      <c r="F3" s="61" t="inlineStr">
        <is>
          <t>Read</t>
        </is>
      </c>
      <c r="G3" s="61" t="inlineStr">
        <is>
          <t>Y</t>
        </is>
      </c>
      <c r="H3" s="68" t="inlineStr">
        <is>
          <t>BR055</t>
        </is>
      </c>
      <c r="I3" s="61" t="inlineStr">
        <is>
          <t>0003030047</t>
        </is>
      </c>
      <c r="J3" s="77" t="inlineStr">
        <is>
          <t>ok</t>
        </is>
      </c>
      <c r="K3" s="61" t="n"/>
    </row>
    <row r="4" ht="21.75" customHeight="1" s="55">
      <c r="A4" s="70" t="inlineStr">
        <is>
          <t>baf_iban</t>
        </is>
      </c>
      <c r="B4" s="70" t="inlineStr">
        <is>
          <t>IBAN</t>
        </is>
      </c>
      <c r="C4" s="70" t="inlineStr">
        <is>
          <t>iban</t>
        </is>
      </c>
      <c r="D4" s="70" t="inlineStr">
        <is>
          <t>iban</t>
        </is>
      </c>
      <c r="E4" s="70" t="inlineStr">
        <is>
          <t>String</t>
        </is>
      </c>
      <c r="F4" s="70" t="inlineStr">
        <is>
          <t>Read</t>
        </is>
      </c>
      <c r="G4" s="70" t="inlineStr">
        <is>
          <t>Y</t>
        </is>
      </c>
      <c r="H4" s="69" t="inlineStr">
        <is>
          <t>BR055</t>
        </is>
      </c>
      <c r="I4" s="70" t="inlineStr">
        <is>
          <t>IT60X0542811101000000123456</t>
        </is>
      </c>
      <c r="J4" s="77" t="inlineStr">
        <is>
          <t>ok</t>
        </is>
      </c>
      <c r="K4" s="70" t="inlineStr">
        <is>
          <t>GDPR - must be masked in UI</t>
        </is>
      </c>
    </row>
    <row r="5" ht="21.75" customHeight="1" s="55">
      <c r="A5" s="61" t="inlineStr">
        <is>
          <t>baf_bic</t>
        </is>
      </c>
      <c r="B5" s="61" t="inlineStr">
        <is>
          <t>BIC/SWIFT</t>
        </is>
      </c>
      <c r="C5" s="61" t="inlineStr">
        <is>
          <t>bic</t>
        </is>
      </c>
      <c r="D5" s="61" t="inlineStr">
        <is>
          <t>bic</t>
        </is>
      </c>
      <c r="E5" s="61" t="inlineStr">
        <is>
          <t>String</t>
        </is>
      </c>
      <c r="F5" s="61" t="inlineStr">
        <is>
          <t>Read</t>
        </is>
      </c>
      <c r="G5" s="61" t="inlineStr">
        <is>
          <t>N</t>
        </is>
      </c>
      <c r="H5" s="61" t="n"/>
      <c r="I5" s="61" t="inlineStr">
        <is>
          <t>BPMOIT22XXX</t>
        </is>
      </c>
      <c r="J5" s="77" t="inlineStr">
        <is>
          <t>ok</t>
        </is>
      </c>
      <c r="K5" s="61" t="n"/>
    </row>
    <row r="6" ht="21.75" customHeight="1" s="55">
      <c r="A6" s="70" t="inlineStr">
        <is>
          <t>baf_account_name</t>
        </is>
      </c>
      <c r="B6" s="70" t="inlineStr">
        <is>
          <t>Account Holder</t>
        </is>
      </c>
      <c r="C6" s="70" t="inlineStr">
        <is>
          <t>account_name</t>
        </is>
      </c>
      <c r="D6" s="70" t="inlineStr">
        <is>
          <t>account_holder</t>
        </is>
      </c>
      <c r="E6" s="70" t="inlineStr">
        <is>
          <t>String</t>
        </is>
      </c>
      <c r="F6" s="70" t="inlineStr">
        <is>
          <t>Read</t>
        </is>
      </c>
      <c r="G6" s="70" t="inlineStr">
        <is>
          <t>Y</t>
        </is>
      </c>
      <c r="H6" s="70" t="n"/>
      <c r="I6" s="70" t="inlineStr">
        <is>
          <t>TEODORESCU LOREDANA CAROLINA</t>
        </is>
      </c>
      <c r="J6" s="77" t="inlineStr">
        <is>
          <t>ok</t>
        </is>
      </c>
      <c r="K6" s="70" t="inlineStr">
        <is>
          <t>GDPR</t>
        </is>
      </c>
    </row>
    <row r="7" ht="21.75" customHeight="1" s="55">
      <c r="A7" s="61" t="inlineStr">
        <is>
          <t>baf_currency</t>
        </is>
      </c>
      <c r="B7" s="61" t="inlineStr">
        <is>
          <t>Currency</t>
        </is>
      </c>
      <c r="C7" s="61" t="inlineStr">
        <is>
          <t>currency_code</t>
        </is>
      </c>
      <c r="D7" s="61" t="inlineStr">
        <is>
          <t>baf_currency</t>
        </is>
      </c>
      <c r="E7" s="61" t="inlineStr">
        <is>
          <t>String</t>
        </is>
      </c>
      <c r="F7" s="61" t="inlineStr">
        <is>
          <t>Read</t>
        </is>
      </c>
      <c r="G7" s="61" t="inlineStr">
        <is>
          <t>N</t>
        </is>
      </c>
      <c r="H7" s="61" t="n"/>
      <c r="I7" s="61" t="inlineStr">
        <is>
          <t>EUR</t>
        </is>
      </c>
      <c r="J7" s="77" t="inlineStr">
        <is>
          <t>ok</t>
        </is>
      </c>
      <c r="K7" s="61" t="n"/>
    </row>
    <row r="8" ht="21.75" customHeight="1" s="55">
      <c r="A8" s="70" t="inlineStr">
        <is>
          <t>baf_country</t>
        </is>
      </c>
      <c r="B8" s="70" t="inlineStr">
        <is>
          <t>Country</t>
        </is>
      </c>
      <c r="C8" s="70" t="inlineStr">
        <is>
          <t>country_code</t>
        </is>
      </c>
      <c r="D8" s="70" t="inlineStr">
        <is>
          <t>baf_country</t>
        </is>
      </c>
      <c r="E8" s="70" t="inlineStr">
        <is>
          <t>String</t>
        </is>
      </c>
      <c r="F8" s="70" t="inlineStr">
        <is>
          <t>Read</t>
        </is>
      </c>
      <c r="G8" s="70" t="inlineStr">
        <is>
          <t>N</t>
        </is>
      </c>
      <c r="H8" s="70" t="n"/>
      <c r="I8" s="70" t="inlineStr">
        <is>
          <t>IT</t>
        </is>
      </c>
      <c r="J8" s="77" t="inlineStr">
        <is>
          <t>ok</t>
        </is>
      </c>
      <c r="K8" s="70" t="n"/>
    </row>
    <row r="9" ht="21.75" customHeight="1" s="55">
      <c r="A9" s="61" t="inlineStr">
        <is>
          <t>baf_expiry_date</t>
        </is>
      </c>
      <c r="B9" s="61" t="inlineStr">
        <is>
          <t>Expiry Date</t>
        </is>
      </c>
      <c r="C9" s="61" t="inlineStr">
        <is>
          <t>expiry_date</t>
        </is>
      </c>
      <c r="D9" s="61" t="inlineStr">
        <is>
          <t>baf_expiry</t>
        </is>
      </c>
      <c r="E9" s="61" t="inlineStr">
        <is>
          <t>Date</t>
        </is>
      </c>
      <c r="F9" s="61" t="inlineStr">
        <is>
          <t>Read</t>
        </is>
      </c>
      <c r="G9" s="61" t="inlineStr">
        <is>
          <t>Y</t>
        </is>
      </c>
      <c r="H9" s="68" t="inlineStr">
        <is>
          <t>BR055</t>
        </is>
      </c>
      <c r="I9" s="61" t="inlineStr">
        <is>
          <t>2027-12-31</t>
        </is>
      </c>
      <c r="J9" s="77" t="inlineStr">
        <is>
          <t>ok</t>
        </is>
      </c>
      <c r="K9" s="61" t="inlineStr">
        <is>
          <t>MUST be in the future</t>
        </is>
      </c>
    </row>
    <row r="10" ht="21.75" customHeight="1" s="55">
      <c r="A10" s="70" t="inlineStr">
        <is>
          <t>baf_early_warning</t>
        </is>
      </c>
      <c r="B10" s="70" t="inlineStr">
        <is>
          <t>Early Warning</t>
        </is>
      </c>
      <c r="C10" s="70" t="inlineStr">
        <is>
          <t>earlyWarning[]</t>
        </is>
      </c>
      <c r="D10" s="70" t="inlineStr">
        <is>
          <t>baf_early_warning</t>
        </is>
      </c>
      <c r="E10" s="70" t="inlineStr">
        <is>
          <t>Array</t>
        </is>
      </c>
      <c r="F10" s="70" t="inlineStr">
        <is>
          <t>Read</t>
        </is>
      </c>
      <c r="G10" s="70" t="inlineStr">
        <is>
          <t>Y</t>
        </is>
      </c>
      <c r="H10" s="69" t="inlineStr">
        <is>
          <t>BR055</t>
        </is>
      </c>
      <c r="I10" s="70" t="inlineStr">
        <is>
          <t>[]</t>
        </is>
      </c>
      <c r="J10" s="77" t="inlineStr">
        <is>
          <t>ok</t>
        </is>
      </c>
      <c r="K10" s="70" t="inlineStr">
        <is>
          <t>MUST BE EMPTY</t>
        </is>
      </c>
    </row>
    <row r="11" ht="21.75" customHeight="1" s="55">
      <c r="A11" s="61" t="inlineStr">
        <is>
          <t>baf_central_status</t>
        </is>
      </c>
      <c r="B11" s="61" t="inlineStr">
        <is>
          <t>Central Status</t>
        </is>
      </c>
      <c r="C11" s="61" t="inlineStr">
        <is>
          <t>workflow_info.central_references[].central_status</t>
        </is>
      </c>
      <c r="D11" s="61" t="inlineStr">
        <is>
          <t>baf_central_status</t>
        </is>
      </c>
      <c r="E11" s="61" t="inlineStr">
        <is>
          <t>String</t>
        </is>
      </c>
      <c r="F11" s="61" t="inlineStr">
        <is>
          <t>Read</t>
        </is>
      </c>
      <c r="G11" s="61" t="inlineStr">
        <is>
          <t>Y</t>
        </is>
      </c>
      <c r="H11" s="68" t="inlineStr">
        <is>
          <t>BR055</t>
        </is>
      </c>
      <c r="I11" s="61" t="inlineStr">
        <is>
          <t>VALID</t>
        </is>
      </c>
      <c r="J11" s="77" t="inlineStr">
        <is>
          <t>ok</t>
        </is>
      </c>
      <c r="K11" s="61" t="inlineStr">
        <is>
          <t>Must be VALID</t>
        </is>
      </c>
    </row>
    <row r="12" ht="21.75" customHeight="1" s="55">
      <c r="A12" s="70" t="inlineStr">
        <is>
          <t>baf_workflow_status</t>
        </is>
      </c>
      <c r="B12" s="70" t="inlineStr">
        <is>
          <t>Workflow Status</t>
        </is>
      </c>
      <c r="C12" s="70" t="inlineStr">
        <is>
          <t>workflow_info.workflow_status</t>
        </is>
      </c>
      <c r="D12" s="70" t="inlineStr">
        <is>
          <t>baf_workflow_status</t>
        </is>
      </c>
      <c r="E12" s="70" t="inlineStr">
        <is>
          <t>String</t>
        </is>
      </c>
      <c r="F12" s="70" t="inlineStr">
        <is>
          <t>Read</t>
        </is>
      </c>
      <c r="G12" s="70" t="inlineStr">
        <is>
          <t>Y</t>
        </is>
      </c>
      <c r="H12" s="70" t="n"/>
      <c r="I12" s="70" t="inlineStr">
        <is>
          <t>VALID</t>
        </is>
      </c>
      <c r="J12" s="77" t="inlineStr">
        <is>
          <t>ok</t>
        </is>
      </c>
      <c r="K12" s="70" t="n"/>
    </row>
    <row r="13" ht="21.75" customHeight="1" s="55">
      <c r="A13" s="61" t="inlineStr">
        <is>
          <t>baf_linked_lef_key</t>
        </is>
      </c>
      <c r="B13" s="61" t="inlineStr">
        <is>
          <t>Linked LEF Key</t>
        </is>
      </c>
      <c r="C13" s="61" t="inlineStr">
        <is>
          <t>/bank-accounts/{key}/legal-entities.[].legal_entity_local_key</t>
        </is>
      </c>
      <c r="D13" s="61" t="inlineStr">
        <is>
          <t>baf_lef_key</t>
        </is>
      </c>
      <c r="E13" s="61" t="inlineStr">
        <is>
          <t>String</t>
        </is>
      </c>
      <c r="F13" s="61" t="inlineStr">
        <is>
          <t>Read</t>
        </is>
      </c>
      <c r="G13" s="61" t="inlineStr">
        <is>
          <t>N</t>
        </is>
      </c>
      <c r="H13" s="61" t="n"/>
      <c r="I13" s="61" t="inlineStr">
        <is>
          <t>6000735326</t>
        </is>
      </c>
      <c r="J13" s="77" t="inlineStr">
        <is>
          <t>ok</t>
        </is>
      </c>
      <c r="K13" s="61" t="inlineStr">
        <is>
          <t>Sub-endpoint cross-reference</t>
        </is>
      </c>
    </row>
    <row r="14" ht="21.75" customHeight="1" s="55">
      <c r="A14" s="70" t="inlineStr">
        <is>
          <t>baf_linked_lef_status</t>
        </is>
      </c>
      <c r="B14" s="70" t="inlineStr">
        <is>
          <t>Linked LEF Status</t>
        </is>
      </c>
      <c r="C14" s="70" t="inlineStr">
        <is>
          <t>/bank-accounts/{key}/legal-entities.[].status_code</t>
        </is>
      </c>
      <c r="D14" s="70" t="inlineStr">
        <is>
          <t>baf_lef_status</t>
        </is>
      </c>
      <c r="E14" s="70" t="inlineStr">
        <is>
          <t>String</t>
        </is>
      </c>
      <c r="F14" s="70" t="inlineStr">
        <is>
          <t>Read</t>
        </is>
      </c>
      <c r="G14" s="70" t="inlineStr">
        <is>
          <t>N</t>
        </is>
      </c>
      <c r="H14" s="70" t="n"/>
      <c r="I14" s="70" t="inlineStr">
        <is>
          <t>VALID</t>
        </is>
      </c>
      <c r="J14" s="77" t="inlineStr">
        <is>
          <t>ok</t>
        </is>
      </c>
      <c r="K14" s="70" t="n"/>
    </row>
    <row r="15" ht="21.75" customHeight="1" s="55">
      <c r="A15" s="61" t="inlineStr">
        <is>
          <t>baf_ares_document</t>
        </is>
      </c>
      <c r="B15" s="61" t="inlineStr">
        <is>
          <t>ARES Document</t>
        </is>
      </c>
      <c r="C15" s="61" t="inlineStr">
        <is>
          <t>ares_document</t>
        </is>
      </c>
      <c r="D15" s="61" t="inlineStr">
        <is>
          <t>baf_ares</t>
        </is>
      </c>
      <c r="E15" s="61" t="inlineStr">
        <is>
          <t>Object</t>
        </is>
      </c>
      <c r="F15" s="61" t="inlineStr">
        <is>
          <t>Read</t>
        </is>
      </c>
      <c r="G15" s="61" t="inlineStr">
        <is>
          <t>N</t>
        </is>
      </c>
      <c r="H15" s="61" t="n"/>
      <c r="I15" s="61" t="n"/>
      <c r="J15" s="78" t="inlineStr">
        <is>
          <t>Partial</t>
        </is>
      </c>
      <c r="K15" s="61" t="inlineStr">
        <is>
          <t>Available in BAF but may be empty for test entity</t>
        </is>
      </c>
    </row>
    <row r="16" ht="21.75" customHeight="1" s="55">
      <c r="A16" s="70" t="inlineStr">
        <is>
          <t>baf_responsible_user</t>
        </is>
      </c>
      <c r="B16" s="70" t="inlineStr">
        <is>
          <t>Responsible User</t>
        </is>
      </c>
      <c r="C16" s="70" t="inlineStr">
        <is>
          <t>responsibleUser</t>
        </is>
      </c>
      <c r="D16" s="70" t="inlineStr">
        <is>
          <t>baf_responsible</t>
        </is>
      </c>
      <c r="E16" s="70" t="inlineStr">
        <is>
          <t>Object</t>
        </is>
      </c>
      <c r="F16" s="70" t="inlineStr">
        <is>
          <t>Read</t>
        </is>
      </c>
      <c r="G16" s="70" t="inlineStr">
        <is>
          <t>N</t>
        </is>
      </c>
      <c r="H16" s="70" t="n"/>
      <c r="I16" s="70" t="n"/>
      <c r="J16" s="79" t="inlineStr">
        <is>
          <t>Gap</t>
        </is>
      </c>
      <c r="K16" s="70" t="inlineStr">
        <is>
          <t>Not in FH response - display only</t>
        </is>
      </c>
    </row>
    <row r="17" ht="21.75" customHeight="1" s="55">
      <c r="A17" s="61" t="inlineStr">
        <is>
          <t>baf_supporting_docs</t>
        </is>
      </c>
      <c r="B17" s="61" t="inlineStr">
        <is>
          <t>Supporting Documents</t>
        </is>
      </c>
      <c r="C17" s="61" t="inlineStr">
        <is>
          <t>supportingDocumentFolder</t>
        </is>
      </c>
      <c r="D17" s="61" t="inlineStr">
        <is>
          <t>baf_supporting</t>
        </is>
      </c>
      <c r="E17" s="61" t="inlineStr">
        <is>
          <t>Object</t>
        </is>
      </c>
      <c r="F17" s="61" t="inlineStr">
        <is>
          <t>Read</t>
        </is>
      </c>
      <c r="G17" s="61" t="inlineStr">
        <is>
          <t>N</t>
        </is>
      </c>
      <c r="H17" s="61" t="n"/>
      <c r="I17" s="61" t="n"/>
      <c r="J17" s="79" t="inlineStr">
        <is>
          <t>Gap</t>
        </is>
      </c>
      <c r="K17" s="61" t="inlineStr">
        <is>
          <t>Not in FH response</t>
        </is>
      </c>
    </row>
  </sheetData>
  <autoFilter ref="A2:K18"/>
  <mergeCells count="1">
    <mergeCell ref="A1:K1"/>
  </mergeCells>
  <conditionalFormatting sqref="J3:J18">
    <cfRule type="cellIs" rank="0" priority="2" equalAverage="0" operator="equal" aboveAverage="0" dxfId="13" text="" percent="0" bottom="0">
      <formula>"TBI"</formula>
    </cfRule>
    <cfRule type="cellIs" rank="0" priority="3" equalAverage="0" operator="equal" aboveAverage="0" dxfId="19" text="" percent="0" bottom="0">
      <formula>"Gap"</formula>
    </cfRule>
    <cfRule type="cellIs" rank="0" priority="4" equalAverage="0" operator="equal" aboveAverage="0" dxfId="14" text="" percent="0" bottom="0">
      <formula>"ok"</formula>
    </cfRule>
  </conditionalFormatting>
  <dataValidations count="4">
    <dataValidation sqref="J3:J18" showDropDown="0" showInputMessage="0" showErrorMessage="0" allowBlank="1" errorTitle="Invalid value" error="Please select a valid option" type="list" errorStyle="stop" operator="between">
      <formula1>"ok,TBI,Gap,N/A,Partial,Deprecated"</formula1>
      <formula2>0</formula2>
    </dataValidation>
    <dataValidation sqref="E3:E18" showDropDown="0" showInputMessage="0" showErrorMessage="0" allowBlank="1" errorTitle="Invalid value" error="Please select a valid option" type="list" errorStyle="stop" operator="between">
      <formula1>"String,Integer,Decimal,Boolean,Date,DateTime,Array,Object,Enum"</formula1>
      <formula2>0</formula2>
    </dataValidation>
    <dataValidation sqref="F3:F18" showDropDown="0" showInputMessage="0" showErrorMessage="0" allowBlank="1" errorTitle="Invalid value" error="Please select a valid option" type="list" errorStyle="stop" operator="between">
      <formula1>"Read,Edit,Auto,System,Calculated"</formula1>
      <formula2>0</formula2>
    </dataValidation>
    <dataValidation sqref="G3:G18" showDropDown="0" showInputMessage="0" showErrorMessage="0" allowBlank="1" errorTitle="Invalid value" error="Please select a valid option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166534"/>
    <outlinePr summaryBelow="1" summaryRight="1"/>
    <pageSetUpPr fitToPage="0"/>
  </sheetPr>
  <dimension ref="A1:I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54" min="1" max="2"/>
    <col width="35" customWidth="1" style="54" min="3" max="3"/>
    <col width="40" customWidth="1" style="54" min="4" max="4"/>
    <col width="8" customWidth="1" style="54" min="5" max="5"/>
    <col width="50" customWidth="1" style="54" min="6" max="6"/>
    <col width="24" customWidth="1" style="54" min="7" max="7"/>
    <col width="20" customWidth="1" style="54" min="8" max="9"/>
  </cols>
  <sheetData>
    <row r="1" ht="31.5" customHeight="1" s="55">
      <c r="A1" s="80" t="inlineStr">
        <is>
          <t>ID</t>
        </is>
      </c>
      <c r="B1" s="80" t="inlineStr">
        <is>
          <t>Method</t>
        </is>
      </c>
      <c r="C1" s="80" t="inlineStr">
        <is>
          <t>Path</t>
        </is>
      </c>
      <c r="D1" s="80" t="inlineStr">
        <is>
          <t>Description</t>
        </is>
      </c>
      <c r="E1" s="80" t="inlineStr">
        <is>
          <t>Entity</t>
        </is>
      </c>
      <c r="F1" s="80" t="inlineStr">
        <is>
          <t>Call_Sequence</t>
        </is>
      </c>
      <c r="G1" s="80" t="inlineStr">
        <is>
          <t>Rate_Limiting</t>
        </is>
      </c>
      <c r="H1" s="80" t="inlineStr">
        <is>
          <t>Request_Sample</t>
        </is>
      </c>
      <c r="I1" s="80" t="inlineStr">
        <is>
          <t>Response_Sample</t>
        </is>
      </c>
    </row>
    <row r="2" ht="21.75" customHeight="1" s="55">
      <c r="A2" s="68" t="inlineStr">
        <is>
          <t>EP01</t>
        </is>
      </c>
      <c r="B2" s="61" t="inlineStr">
        <is>
          <t>GET</t>
        </is>
      </c>
      <c r="C2" s="61" t="inlineStr">
        <is>
          <t>/legal-commitments/{localKey}/last-validated</t>
        </is>
      </c>
      <c r="D2" s="61" t="inlineStr">
        <is>
          <t>Retrieve legal commitment data by local key</t>
        </is>
      </c>
      <c r="E2" s="61" t="inlineStr">
        <is>
          <t>LCK</t>
        </is>
      </c>
      <c r="F2" s="61" t="inlineStr">
        <is>
          <t>1. Call with LCK reference from user input. 2. Extract contractors[].legal_entity_local_key and bank_account_local_key. 3. Trigger EP02 + EP03 in parallel.</t>
        </is>
      </c>
      <c r="G2" s="61" t="inlineStr">
        <is>
          <t>OAuth 2.0 Bearer token. 100 req/min. Circuit breaker after 5 consecutive failures.</t>
        </is>
      </c>
      <c r="H2" s="61" t="inlineStr">
        <is>
          <t>{"local_key": "EAS.517864"}</t>
        </is>
      </c>
      <c r="I2" s="61" t="inlineStr">
        <is>
          <t>{"local_key": "EAS.517864" "contractors": [{"legal_entity_local_key": "6000807055" "bank_account_local_key": "0003030047"}]}</t>
        </is>
      </c>
    </row>
    <row r="3" ht="21.75" customHeight="1" s="55">
      <c r="A3" s="69" t="inlineStr">
        <is>
          <t>EP02</t>
        </is>
      </c>
      <c r="B3" s="70" t="inlineStr">
        <is>
          <t>GET</t>
        </is>
      </c>
      <c r="C3" s="70" t="inlineStr">
        <is>
          <t>/legal-entities/{localKey}</t>
        </is>
      </c>
      <c r="D3" s="70" t="inlineStr">
        <is>
          <t>Retrieve legal entity (landlord) data</t>
        </is>
      </c>
      <c r="E3" s="70" t="inlineStr">
        <is>
          <t>LEF</t>
        </is>
      </c>
      <c r="F3" s="70" t="inlineStr">
        <is>
          <t>Called after EP01 returns contractor keys. Extract _type to determine polymorphic structure (PrivatePersonR/PublicLawBodyR/PrivateLawBodyR/StaffMemberR).</t>
        </is>
      </c>
      <c r="G3" s="70" t="inlineStr">
        <is>
          <t>OAuth 2.0. Same token as EP01.</t>
        </is>
      </c>
      <c r="H3" s="70" t="inlineStr">
        <is>
          <t>{"local_key": "6000807055"}</t>
        </is>
      </c>
      <c r="I3" s="70" t="inlineStr">
        <is>
          <t>{"local_key": "6000807055" "_type": "PrivatePersonR" "name": "TEODORESCU LOREDANA CAROLINA" "earlyWarning": []}</t>
        </is>
      </c>
    </row>
    <row r="4" ht="21.75" customHeight="1" s="55">
      <c r="A4" s="68" t="inlineStr">
        <is>
          <t>EP03</t>
        </is>
      </c>
      <c r="B4" s="61" t="inlineStr">
        <is>
          <t>GET</t>
        </is>
      </c>
      <c r="C4" s="61" t="inlineStr">
        <is>
          <t>/bank-accounts/{localKey}</t>
        </is>
      </c>
      <c r="D4" s="61" t="inlineStr">
        <is>
          <t>Retrieve bank account data for payment</t>
        </is>
      </c>
      <c r="E4" s="61" t="inlineStr">
        <is>
          <t>BAF</t>
        </is>
      </c>
      <c r="F4" s="61" t="inlineStr">
        <is>
          <t>Called in parallel with EP02 after EP01. Validate IBAN format + expiry_date must be future + earlyWarning[] must be empty.</t>
        </is>
      </c>
      <c r="G4" s="61" t="inlineStr">
        <is>
          <t>OAuth 2.0. IBAN must be masked in logs.</t>
        </is>
      </c>
      <c r="H4" s="61" t="inlineStr">
        <is>
          <t>{"local_key": "0003030047"}</t>
        </is>
      </c>
      <c r="I4" s="61" t="inlineStr">
        <is>
          <t>{"local_key": "0003030047" "iban": "IT60X054281..." "expiry_date": "2027-12-31" "earlyWarning": []}</t>
        </is>
      </c>
    </row>
    <row r="5" ht="21.75" customHeight="1" s="55">
      <c r="A5" s="69" t="inlineStr">
        <is>
          <t>EP04</t>
        </is>
      </c>
      <c r="B5" s="70" t="inlineStr">
        <is>
          <t>GET</t>
        </is>
      </c>
      <c r="C5" s="70" t="inlineStr">
        <is>
          <t>/budget-commitments/{localKey}</t>
        </is>
      </c>
      <c r="D5" s="70" t="inlineStr">
        <is>
          <t>Retrieve budget commitment line data</t>
        </is>
      </c>
      <c r="E5" s="70" t="inlineStr">
        <is>
          <t>BCL</t>
        </is>
      </c>
      <c r="F5" s="70" t="inlineStr">
        <is>
          <t>Called optionally from commitment_local_keys[] in EP01 response. Used for budget validation.</t>
        </is>
      </c>
      <c r="G5" s="70" t="inlineStr">
        <is>
          <t>OAuth 2.0. Read-only.</t>
        </is>
      </c>
      <c r="H5" s="70" t="inlineStr">
        <is>
          <t>{"local_key": "BCL-12345"}</t>
        </is>
      </c>
      <c r="I5" s="70" t="inlineStr">
        <is>
          <t>{"local_key": "BCL-12345" "budget_line": "A-3000" "amount": 125000}</t>
        </is>
      </c>
    </row>
    <row r="6" ht="21.75" customHeight="1" s="55">
      <c r="A6" s="68" t="inlineStr">
        <is>
          <t>EP05</t>
        </is>
      </c>
      <c r="B6" s="61" t="inlineStr">
        <is>
          <t>GET</t>
        </is>
      </c>
      <c r="C6" s="61" t="inlineStr">
        <is>
          <t>/bank-accounts/{localKey}/legal-entities</t>
        </is>
      </c>
      <c r="D6" s="61" t="inlineStr">
        <is>
          <t>Retrieve legal entities linked to a bank account</t>
        </is>
      </c>
      <c r="E6" s="61" t="inlineStr">
        <is>
          <t>BAF-LEF</t>
        </is>
      </c>
      <c r="F6" s="61" t="inlineStr">
        <is>
          <t>Sub-endpoint of EP03. Cross-references BAF to LEF. Used for validation that BAF holder matches contract landlord.</t>
        </is>
      </c>
      <c r="G6" s="61" t="inlineStr">
        <is>
          <t>OAuth 2.0.</t>
        </is>
      </c>
      <c r="H6" s="61" t="inlineStr">
        <is>
          <t>{"local_key": "0003030047"}</t>
        </is>
      </c>
      <c r="I6" s="61" t="inlineStr">
        <is>
          <t>[{"legal_entity_local_key": "6000735326" "status_code": "VALID"}]</t>
        </is>
      </c>
    </row>
  </sheetData>
  <autoFilter ref="A1:I7"/>
  <conditionalFormatting sqref="B2:B7">
    <cfRule type="cellIs" rank="0" priority="2" equalAverage="0" operator="equal" aboveAverage="0" dxfId="14" text="" percent="0" bottom="0">
      <formula>"GET"</formula>
    </cfRule>
    <cfRule type="cellIs" rank="0" priority="3" equalAverage="0" operator="equal" aboveAverage="0" dxfId="15" text="" percent="0" bottom="0">
      <formula>"POST"</formula>
    </cfRule>
    <cfRule type="cellIs" rank="0" priority="4" equalAverage="0" operator="equal" aboveAverage="0" dxfId="19" text="" percent="0" bottom="0">
      <formula>"DELETE"</formula>
    </cfRule>
  </conditionalFormatting>
  <dataValidations count="1">
    <dataValidation sqref="B2:B7" showDropDown="0" showInputMessage="0" showErrorMessage="0" allowBlank="1" errorTitle="Invalid value" error="Please select a valid option" type="list" errorStyle="stop" operator="between">
      <formula1>"GET,POST,PUT,PATCH,DELETE"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0F172A"/>
    <outlinePr summaryBelow="1" summaryRight="1"/>
    <pageSetUpPr fitToPage="0"/>
  </sheetPr>
  <dimension ref="A1:G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54" min="1" max="1"/>
    <col width="50" customWidth="1" style="54" min="2" max="2"/>
    <col width="45" customWidth="1" style="54" min="3" max="3"/>
    <col width="10" customWidth="1" style="54" min="4" max="4"/>
    <col width="50" customWidth="1" style="54" min="5" max="5"/>
    <col width="10" customWidth="1" style="54" min="6" max="6"/>
    <col width="12" customWidth="1" style="54" min="7" max="7"/>
  </cols>
  <sheetData>
    <row r="1" ht="31.5" customHeight="1" s="55">
      <c r="A1" s="81" t="inlineStr">
        <is>
          <t>Req_ID</t>
        </is>
      </c>
      <c r="B1" s="81" t="inlineStr">
        <is>
          <t>Requirement</t>
        </is>
      </c>
      <c r="C1" s="81" t="inlineStr">
        <is>
          <t>User_Story</t>
        </is>
      </c>
      <c r="D1" s="81" t="inlineStr">
        <is>
          <t>Test_Case</t>
        </is>
      </c>
      <c r="E1" s="81" t="inlineStr">
        <is>
          <t>Test_Steps</t>
        </is>
      </c>
      <c r="F1" s="81" t="inlineStr">
        <is>
          <t>Priority</t>
        </is>
      </c>
      <c r="G1" s="81" t="inlineStr">
        <is>
          <t>Status</t>
        </is>
      </c>
    </row>
    <row r="2" ht="21.75" customHeight="1" s="55">
      <c r="A2" s="68" t="inlineStr">
        <is>
          <t>REQ-001</t>
        </is>
      </c>
      <c r="B2" s="61" t="inlineStr">
        <is>
          <t>System shall enforce valid contract status transitions (DRAFT &gt; IN_FORCE &gt; EXPIRED &gt; ARCHIVED)</t>
        </is>
      </c>
      <c r="C2" s="61" t="inlineStr">
        <is>
          <t>As a DAS user I want the system to prevent invalid status changes so that contract integrity is maintained</t>
        </is>
      </c>
      <c r="D2" s="68" t="inlineStr">
        <is>
          <t>TC-001</t>
        </is>
      </c>
      <c r="E2" s="61" t="inlineStr">
        <is>
          <t>Given a DRAFT contract When user attempts to set status to ARCHIVED Then system rejects with error message</t>
        </is>
      </c>
      <c r="F2" s="61" t="inlineStr">
        <is>
          <t>Critical</t>
        </is>
      </c>
      <c r="G2" s="61" t="inlineStr">
        <is>
          <t>Approved</t>
        </is>
      </c>
    </row>
    <row r="3" ht="21.75" customHeight="1" s="55">
      <c r="A3" s="69" t="inlineStr">
        <is>
          <t>REQ-002</t>
        </is>
      </c>
      <c r="B3" s="70" t="inlineStr">
        <is>
          <t>System shall validate contract type against allowed types (Art.5/Art.23/Purchase/Sub-lease/Administrative)</t>
        </is>
      </c>
      <c r="C3" s="70" t="inlineStr">
        <is>
          <t>As a DAS user I want to select from valid contract types so that contracts are properly classified</t>
        </is>
      </c>
      <c r="D3" s="69" t="inlineStr">
        <is>
          <t>TC-002</t>
        </is>
      </c>
      <c r="E3" s="70" t="inlineStr">
        <is>
          <t>Given contract creation form When user selects type Then only valid options are available</t>
        </is>
      </c>
      <c r="F3" s="70" t="inlineStr">
        <is>
          <t>High</t>
        </is>
      </c>
      <c r="G3" s="70" t="inlineStr">
        <is>
          <t>Approved</t>
        </is>
      </c>
    </row>
    <row r="4" ht="21.75" customHeight="1" s="55">
      <c r="A4" s="68" t="inlineStr">
        <is>
          <t>REQ-003</t>
        </is>
      </c>
      <c r="B4" s="61" t="inlineStr">
        <is>
          <t>System shall validate LCK reference format as EAS.XXXXXX (3 letters + dot + 6 digits)</t>
        </is>
      </c>
      <c r="C4" s="61" t="inlineStr">
        <is>
          <t>As a DAS user I want immediate LCK format validation so that I get clear feedback before calling Financial Hub</t>
        </is>
      </c>
      <c r="D4" s="68" t="inlineStr">
        <is>
          <t>TC-003</t>
        </is>
      </c>
      <c r="E4" s="61" t="inlineStr">
        <is>
          <t>Given LCK input field When user enters EAS-123456 (wrong format) Then system shows format error before API call</t>
        </is>
      </c>
      <c r="F4" s="61" t="inlineStr">
        <is>
          <t>Critical</t>
        </is>
      </c>
      <c r="G4" s="61" t="inlineStr">
        <is>
          <t>Implemented</t>
        </is>
      </c>
    </row>
    <row r="5" ht="21.75" customHeight="1" s="55">
      <c r="A5" s="69" t="inlineStr">
        <is>
          <t>REQ-004</t>
        </is>
      </c>
      <c r="B5" s="70" t="inlineStr">
        <is>
          <t>System shall enforce maximum one IN_FORCE contract per building at any time</t>
        </is>
      </c>
      <c r="C5" s="70" t="inlineStr">
        <is>
          <t>As a system administrator I want single active contract enforcement so that financial data remains consistent</t>
        </is>
      </c>
      <c r="D5" s="69" t="inlineStr">
        <is>
          <t>TC-004</t>
        </is>
      </c>
      <c r="E5" s="70" t="inlineStr">
        <is>
          <t>Given building with IN_FORCE contract When user attempts to activate second contract Then system blocks activation</t>
        </is>
      </c>
      <c r="F5" s="70" t="inlineStr">
        <is>
          <t>Critical</t>
        </is>
      </c>
      <c r="G5" s="70" t="inlineStr">
        <is>
          <t>Approved</t>
        </is>
      </c>
    </row>
    <row r="6" ht="21.75" customHeight="1" s="55">
      <c r="A6" s="68" t="inlineStr">
        <is>
          <t>REQ-005</t>
        </is>
      </c>
      <c r="B6" s="61" t="inlineStr">
        <is>
          <t>System shall validate BAF data: IBAN format + central_status VALID + earlyWarning[] empty + expiry_date future</t>
        </is>
      </c>
      <c r="C6" s="61" t="inlineStr">
        <is>
          <t>As a DAS user I want automatic bank account validation so that payments go to verified accounts</t>
        </is>
      </c>
      <c r="D6" s="68" t="inlineStr">
        <is>
          <t>TC-005</t>
        </is>
      </c>
      <c r="E6" s="61" t="inlineStr">
        <is>
          <t>Given BAF with expired date When system retrieves BAF data Then contract creation is blocked with expiry warning</t>
        </is>
      </c>
      <c r="F6" s="61" t="inlineStr">
        <is>
          <t>Critical</t>
        </is>
      </c>
      <c r="G6" s="61" t="inlineStr">
        <is>
          <t>In Progress</t>
        </is>
      </c>
    </row>
    <row r="7" ht="21.75" customHeight="1" s="55">
      <c r="A7" s="69" t="inlineStr">
        <is>
          <t>REQ-006</t>
        </is>
      </c>
      <c r="B7" s="70" t="inlineStr">
        <is>
          <t>System shall automatically expire contracts at 02:01 AM when end_date passes current date</t>
        </is>
      </c>
      <c r="C7" s="70" t="inlineStr">
        <is>
          <t>As a system I want automatic expiry so that contract statuses remain accurate without manual intervention</t>
        </is>
      </c>
      <c r="D7" s="69" t="inlineStr">
        <is>
          <t>TC-006</t>
        </is>
      </c>
      <c r="E7" s="70" t="inlineStr">
        <is>
          <t>Given IN_FORCE contract with end_date yesterday When scheduler runs at 02:01 Then status changes to EXPIRED</t>
        </is>
      </c>
      <c r="F7" s="70" t="inlineStr">
        <is>
          <t>High</t>
        </is>
      </c>
      <c r="G7" s="70" t="inlineStr">
        <is>
          <t>Tested</t>
        </is>
      </c>
    </row>
    <row r="8" ht="21.75" customHeight="1" s="55">
      <c r="A8" s="68" t="inlineStr">
        <is>
          <t>REQ-007</t>
        </is>
      </c>
      <c r="B8" s="61" t="inlineStr">
        <is>
          <t>System shall call Financial Hub APIs in correct sequence: LCK first then LEF+BAF in parallel</t>
        </is>
      </c>
      <c r="C8" s="61" t="inlineStr">
        <is>
          <t>As a developer I want clear API call sequencing so that data dependencies are respected</t>
        </is>
      </c>
      <c r="D8" s="68" t="inlineStr">
        <is>
          <t>TC-007</t>
        </is>
      </c>
      <c r="E8" s="61" t="inlineStr">
        <is>
          <t>Given user clicks Pull LCK When system processes Then EP01 completes before EP02+EP03 start in parallel</t>
        </is>
      </c>
      <c r="F8" s="61" t="inlineStr">
        <is>
          <t>High</t>
        </is>
      </c>
      <c r="G8" s="61" t="inlineStr">
        <is>
          <t>Draft</t>
        </is>
      </c>
    </row>
    <row r="9" ht="21.75" customHeight="1" s="55">
      <c r="A9" s="69" t="inlineStr">
        <is>
          <t>REQ-008</t>
        </is>
      </c>
      <c r="B9" s="70" t="inlineStr">
        <is>
          <t>System shall mask IBAN in all UI displays and logs showing only last 4 digits</t>
        </is>
      </c>
      <c r="C9" s="70" t="inlineStr">
        <is>
          <t>As a data protection officer I want IBAN masking so that we comply with GDPR data minimisation</t>
        </is>
      </c>
      <c r="D9" s="69" t="inlineStr">
        <is>
          <t>TC-008</t>
        </is>
      </c>
      <c r="E9" s="70" t="inlineStr">
        <is>
          <t>Given BAF data displayed When user views contract details Then IBAN shows as XXXX...3456</t>
        </is>
      </c>
      <c r="F9" s="70" t="inlineStr">
        <is>
          <t>Critical</t>
        </is>
      </c>
      <c r="G9" s="70" t="inlineStr">
        <is>
          <t>Draft</t>
        </is>
      </c>
    </row>
  </sheetData>
  <autoFilter ref="A1:G10"/>
  <conditionalFormatting sqref="G2:G10">
    <cfRule type="cellIs" rank="0" priority="2" equalAverage="0" operator="equal" aboveAverage="0" dxfId="14" text="" percent="0" bottom="0">
      <formula>"Approved"</formula>
    </cfRule>
    <cfRule type="cellIs" rank="0" priority="3" equalAverage="0" operator="equal" aboveAverage="0" dxfId="24" text="" percent="0" bottom="0">
      <formula>"Draft"</formula>
    </cfRule>
    <cfRule type="cellIs" rank="0" priority="4" equalAverage="0" operator="equal" aboveAverage="0" dxfId="15" text="" percent="0" bottom="0">
      <formula>"In Progress"</formula>
    </cfRule>
  </conditionalFormatting>
  <dataValidations count="2">
    <dataValidation sqref="F2:F10" showDropDown="0" showInputMessage="0" showErrorMessage="0" allowBlank="1" errorTitle="Invalid value" error="Please select a valid option" type="list" errorStyle="stop" operator="between">
      <formula1>"Critical,High,Medium,Low"</formula1>
      <formula2>0</formula2>
    </dataValidation>
    <dataValidation sqref="G2:G10" showDropDown="0" showInputMessage="0" showErrorMessage="0" allowBlank="1" errorTitle="Invalid value" error="Please select a valid option" type="list" errorStyle="stop" operator="between">
      <formula1>"Draft,Approved,In Progress,Implemented,Tested,Deployed"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92400E"/>
    <outlinePr summaryBelow="1" summaryRight="1"/>
    <pageSetUpPr fitToPage="0"/>
  </sheetPr>
  <dimension ref="A1:H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54" min="1" max="1"/>
    <col width="55" customWidth="1" style="54" min="2" max="2"/>
    <col width="40" customWidth="1" style="54" min="3" max="3"/>
    <col width="18" customWidth="1" style="54" min="4" max="4"/>
    <col width="10" customWidth="1" style="54" min="5" max="5"/>
    <col width="12" customWidth="1" style="54" min="6" max="6"/>
    <col width="18" customWidth="1" style="54" min="7" max="7"/>
    <col width="40" customWidth="1" style="54" min="8" max="8"/>
  </cols>
  <sheetData>
    <row r="1" ht="31.5" customHeight="1" s="55">
      <c r="A1" s="82" t="inlineStr">
        <is>
          <t>ID</t>
        </is>
      </c>
      <c r="B1" s="82" t="inlineStr">
        <is>
          <t>Question</t>
        </is>
      </c>
      <c r="C1" s="82" t="inlineStr">
        <is>
          <t>Context</t>
        </is>
      </c>
      <c r="D1" s="82" t="inlineStr">
        <is>
          <t>Entity_Field</t>
        </is>
      </c>
      <c r="E1" s="82" t="inlineStr">
        <is>
          <t>Priority</t>
        </is>
      </c>
      <c r="F1" s="82" t="inlineStr">
        <is>
          <t>Status</t>
        </is>
      </c>
      <c r="G1" s="82" t="inlineStr">
        <is>
          <t>Assigned_To</t>
        </is>
      </c>
      <c r="H1" s="82" t="inlineStr">
        <is>
          <t>Answer</t>
        </is>
      </c>
    </row>
    <row r="2" ht="21.75" customHeight="1" s="55">
      <c r="A2" s="68" t="inlineStr">
        <is>
          <t>Q001</t>
        </is>
      </c>
      <c r="B2" s="61" t="inlineStr">
        <is>
          <t>Will the EAS.XXXXXX LCK format be preserved in SUMMA?</t>
        </is>
      </c>
      <c r="C2" s="61" t="inlineStr">
        <is>
          <t>Currently ABAC uses EAS.XXXXXX. If SUMMA changes the format the validation rules must be updated</t>
        </is>
      </c>
      <c r="D2" s="68" t="inlineStr">
        <is>
          <t>LCK.local_key</t>
        </is>
      </c>
      <c r="E2" s="61" t="inlineStr">
        <is>
          <t>Critical</t>
        </is>
      </c>
      <c r="F2" s="61" t="inlineStr">
        <is>
          <t>Open</t>
        </is>
      </c>
      <c r="G2" s="61" t="inlineStr">
        <is>
          <t>SUMMA Team</t>
        </is>
      </c>
      <c r="H2" s="61" t="n"/>
    </row>
    <row r="3" ht="21.75" customHeight="1" s="55">
      <c r="A3" s="69" t="inlineStr">
        <is>
          <t>Q002</t>
        </is>
      </c>
      <c r="B3" s="70" t="inlineStr">
        <is>
          <t>Does Financial Hub expose earlyWarning[] for LEF entities?</t>
        </is>
      </c>
      <c r="C3" s="70" t="inlineStr">
        <is>
          <t>Test entity 6000740916 returned empty array but need confirmation it exists for all entity types</t>
        </is>
      </c>
      <c r="D3" s="69" t="inlineStr">
        <is>
          <t>LEF.earlyWarning</t>
        </is>
      </c>
      <c r="E3" s="70" t="inlineStr">
        <is>
          <t>High</t>
        </is>
      </c>
      <c r="F3" s="70" t="inlineStr">
        <is>
          <t>Open</t>
        </is>
      </c>
      <c r="G3" s="70" t="inlineStr">
        <is>
          <t>Integration Team</t>
        </is>
      </c>
      <c r="H3" s="70" t="n"/>
    </row>
    <row r="4" ht="21.75" customHeight="1" s="55">
      <c r="A4" s="68" t="inlineStr">
        <is>
          <t>Q003</t>
        </is>
      </c>
      <c r="B4" s="61" t="inlineStr">
        <is>
          <t>What are the exact workflow status codes mapping to IMMOGEST states?</t>
        </is>
      </c>
      <c r="C4" s="61" t="inlineStr">
        <is>
          <t>IMMOGEST uses DRAFT/IN_FORCE/EXPIRED/ARCHIVED. Need SUMMA equivalent codes</t>
        </is>
      </c>
      <c r="D4" s="68" t="inlineStr">
        <is>
          <t>LCK.workflow_status</t>
        </is>
      </c>
      <c r="E4" s="61" t="inlineStr">
        <is>
          <t>High</t>
        </is>
      </c>
      <c r="F4" s="61" t="inlineStr">
        <is>
          <t>Blocked</t>
        </is>
      </c>
      <c r="G4" s="61" t="inlineStr">
        <is>
          <t>SUMMA Team</t>
        </is>
      </c>
      <c r="H4" s="61" t="n"/>
    </row>
    <row r="5" ht="21.75" customHeight="1" s="55">
      <c r="A5" s="69" t="inlineStr">
        <is>
          <t>Q004</t>
        </is>
      </c>
      <c r="B5" s="70" t="inlineStr">
        <is>
          <t>How should IMMOGEST handle the complex CRU objects (currency/organisation/contractor)?</t>
        </is>
      </c>
      <c r="C5" s="70" t="inlineStr">
        <is>
          <t>Financial Hub returns nested objects. Need to determine if we flatten or store as JSON</t>
        </is>
      </c>
      <c r="D5" s="69" t="inlineStr">
        <is>
          <t>LCK.contractors[]</t>
        </is>
      </c>
      <c r="E5" s="70" t="inlineStr">
        <is>
          <t>Medium</t>
        </is>
      </c>
      <c r="F5" s="70" t="inlineStr">
        <is>
          <t>Open</t>
        </is>
      </c>
      <c r="G5" s="70" t="inlineStr">
        <is>
          <t>Architecture Team</t>
        </is>
      </c>
      <c r="H5" s="70" t="n"/>
    </row>
    <row r="6" ht="21.75" customHeight="1" s="55">
      <c r="A6" s="68" t="inlineStr">
        <is>
          <t>Q005</t>
        </is>
      </c>
      <c r="B6" s="61" t="inlineStr">
        <is>
          <t>What HTTP error codes will Financial Hub return for each validation scenario?</t>
        </is>
      </c>
      <c r="C6" s="61" t="inlineStr">
        <is>
          <t>Need exact codes for: not found / expired / wrong category / already used / server error</t>
        </is>
      </c>
      <c r="D6" s="68" t="inlineStr">
        <is>
          <t>API.error_codes</t>
        </is>
      </c>
      <c r="E6" s="61" t="inlineStr">
        <is>
          <t>High</t>
        </is>
      </c>
      <c r="F6" s="61" t="inlineStr">
        <is>
          <t>Open</t>
        </is>
      </c>
      <c r="G6" s="61" t="inlineStr">
        <is>
          <t>Integration Team</t>
        </is>
      </c>
      <c r="H6" s="61" t="n"/>
    </row>
    <row r="7" ht="21.75" customHeight="1" s="55">
      <c r="A7" s="69" t="inlineStr">
        <is>
          <t>Q006</t>
        </is>
      </c>
      <c r="B7" s="70" t="inlineStr">
        <is>
          <t>Is the BAF expiry_date field always populated?</t>
        </is>
      </c>
      <c r="C7" s="70" t="inlineStr">
        <is>
          <t>Some test entities returned null expiry. Need to know if this is optional or mandatory</t>
        </is>
      </c>
      <c r="D7" s="69" t="inlineStr">
        <is>
          <t>BAF.expiry_date</t>
        </is>
      </c>
      <c r="E7" s="70" t="inlineStr">
        <is>
          <t>High</t>
        </is>
      </c>
      <c r="F7" s="70" t="inlineStr">
        <is>
          <t>Open</t>
        </is>
      </c>
      <c r="G7" s="70" t="inlineStr">
        <is>
          <t>SUMMA Team</t>
        </is>
      </c>
      <c r="H7" s="70" t="n"/>
    </row>
    <row r="8" ht="21.75" customHeight="1" s="55">
      <c r="A8" s="68" t="inlineStr">
        <is>
          <t>Q007</t>
        </is>
      </c>
      <c r="B8" s="61" t="inlineStr">
        <is>
          <t>Will EEAS Connect replace current OAuth for Financial Hub authentication?</t>
        </is>
      </c>
      <c r="C8" s="61" t="inlineStr">
        <is>
          <t>Migration from current auth to EEAS Connect (OAuth 2.0/OIDC) timing unclear</t>
        </is>
      </c>
      <c r="D8" s="68" t="inlineStr">
        <is>
          <t>API.authentication</t>
        </is>
      </c>
      <c r="E8" s="61" t="inlineStr">
        <is>
          <t>Medium</t>
        </is>
      </c>
      <c r="F8" s="61" t="inlineStr">
        <is>
          <t>Open</t>
        </is>
      </c>
      <c r="G8" s="61" t="inlineStr">
        <is>
          <t>Security Team</t>
        </is>
      </c>
      <c r="H8" s="61" t="n"/>
    </row>
    <row r="9" ht="21.75" customHeight="1" s="55">
      <c r="A9" s="69" t="inlineStr">
        <is>
          <t>Q008</t>
        </is>
      </c>
      <c r="B9" s="70" t="inlineStr">
        <is>
          <t>What is the cutover model: big-bang or phased?</t>
        </is>
      </c>
      <c r="C9" s="70" t="inlineStr">
        <is>
          <t>~500 active contracts across ~140 delegations need to transition. Phased recommended</t>
        </is>
      </c>
      <c r="D9" s="69" t="inlineStr">
        <is>
          <t>Migration.cutover</t>
        </is>
      </c>
      <c r="E9" s="70" t="inlineStr">
        <is>
          <t>Critical</t>
        </is>
      </c>
      <c r="F9" s="70" t="inlineStr">
        <is>
          <t>Open</t>
        </is>
      </c>
      <c r="G9" s="70" t="inlineStr">
        <is>
          <t>Project Sponsor</t>
        </is>
      </c>
      <c r="H9" s="70" t="n"/>
    </row>
    <row r="10" ht="21.75" customHeight="1" s="55">
      <c r="A10" s="68" t="inlineStr">
        <is>
          <t>Q009</t>
        </is>
      </c>
      <c r="B10" s="61" t="inlineStr">
        <is>
          <t>Are LCK references identical in ABAC and SUMMA?</t>
        </is>
      </c>
      <c r="C10" s="61" t="inlineStr">
        <is>
          <t>If not a mapping table is needed before cutover</t>
        </is>
      </c>
      <c r="D10" s="68" t="inlineStr">
        <is>
          <t>LCK.local_key</t>
        </is>
      </c>
      <c r="E10" s="61" t="inlineStr">
        <is>
          <t>Critical</t>
        </is>
      </c>
      <c r="F10" s="61" t="inlineStr">
        <is>
          <t>Open</t>
        </is>
      </c>
      <c r="G10" s="61" t="inlineStr">
        <is>
          <t>SUMMA Team</t>
        </is>
      </c>
      <c r="H10" s="61" t="n"/>
    </row>
    <row r="11" ht="21.75" customHeight="1" s="55">
      <c r="A11" s="69" t="inlineStr">
        <is>
          <t>Q010</t>
        </is>
      </c>
      <c r="B11" s="70" t="inlineStr">
        <is>
          <t>What happens to DRAFT/WAH contracts during cutover?</t>
        </is>
      </c>
      <c r="C11" s="70" t="inlineStr">
        <is>
          <t>Must be completed or cancelled. Freeze period needed</t>
        </is>
      </c>
      <c r="D11" s="69" t="inlineStr">
        <is>
          <t>Migration.in_flight</t>
        </is>
      </c>
      <c r="E11" s="70" t="inlineStr">
        <is>
          <t>High</t>
        </is>
      </c>
      <c r="F11" s="70" t="inlineStr">
        <is>
          <t>Open</t>
        </is>
      </c>
      <c r="G11" s="70" t="inlineStr">
        <is>
          <t>Project Manager</t>
        </is>
      </c>
      <c r="H11" s="70" t="n"/>
    </row>
  </sheetData>
  <autoFilter ref="A1:H12"/>
  <conditionalFormatting sqref="F2:F12">
    <cfRule type="cellIs" rank="0" priority="2" equalAverage="0" operator="equal" aboveAverage="0" dxfId="19" text="" percent="0" bottom="0">
      <formula>"Blocked"</formula>
    </cfRule>
    <cfRule type="cellIs" rank="0" priority="3" equalAverage="0" operator="equal" aboveAverage="0" dxfId="13" text="" percent="0" bottom="0">
      <formula>"Open"</formula>
    </cfRule>
    <cfRule type="cellIs" rank="0" priority="4" equalAverage="0" operator="equal" aboveAverage="0" dxfId="14" text="" percent="0" bottom="0">
      <formula>"Answered"</formula>
    </cfRule>
  </conditionalFormatting>
  <dataValidations count="2">
    <dataValidation sqref="E2:E12" showDropDown="0" showInputMessage="0" showErrorMessage="0" allowBlank="1" errorTitle="Invalid value" error="Please select a valid option" type="list" errorStyle="stop" operator="between">
      <formula1>"Critical,High,Medium,Low"</formula1>
      <formula2>0</formula2>
    </dataValidation>
    <dataValidation sqref="F2:F12" showDropDown="0" showInputMessage="0" showErrorMessage="0" allowBlank="1" errorTitle="Invalid value" error="Please select a valid option" type="list" errorStyle="stop" operator="between">
      <formula1>"Open,In Progress,Answered,Blocked,Closed"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64748B"/>
    <outlinePr summaryBelow="1" summaryRight="1"/>
    <pageSetUpPr fitToPage="0"/>
  </sheetPr>
  <dimension ref="A1:C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54" min="1" max="1"/>
    <col width="70" customWidth="1" style="54" min="2" max="2"/>
    <col width="16" customWidth="1" style="54" min="3" max="3"/>
  </cols>
  <sheetData>
    <row r="1" ht="31.5" customHeight="1" s="55">
      <c r="A1" s="83" t="inlineStr">
        <is>
          <t>Term</t>
        </is>
      </c>
      <c r="B1" s="83" t="inlineStr">
        <is>
          <t>Definition</t>
        </is>
      </c>
      <c r="C1" s="83" t="inlineStr">
        <is>
          <t>Related_Entity</t>
        </is>
      </c>
    </row>
    <row r="2" ht="21.75" customHeight="1" s="55">
      <c r="A2" s="61" t="inlineStr">
        <is>
          <t>ABAC</t>
        </is>
      </c>
      <c r="B2" s="61" t="inlineStr">
        <is>
          <t>Accrual-Based Accounting system. EU legacy financial system being replaced by SUMMA.</t>
        </is>
      </c>
      <c r="C2" s="61" t="inlineStr">
        <is>
          <t>LCK</t>
        </is>
      </c>
    </row>
    <row r="3" ht="21.75" customHeight="1" s="55">
      <c r="A3" s="70" t="inlineStr">
        <is>
          <t>ARES</t>
        </is>
      </c>
      <c r="B3" s="70" t="inlineStr">
        <is>
          <t>Advanced Records System. EU document management. Referenced in BAF for bank certificates.</t>
        </is>
      </c>
      <c r="C3" s="70" t="inlineStr">
        <is>
          <t>BAF</t>
        </is>
      </c>
    </row>
    <row r="4" ht="21.75" customHeight="1" s="55">
      <c r="A4" s="61" t="inlineStr">
        <is>
          <t>Art.5</t>
        </is>
      </c>
      <c r="B4" s="61" t="inlineStr">
        <is>
          <t>Article 5 of Staff Regulations. Short-term lease below financial threshold.</t>
        </is>
      </c>
      <c r="C4" s="61" t="inlineStr">
        <is>
          <t>LCK</t>
        </is>
      </c>
    </row>
    <row r="5" ht="21.75" customHeight="1" s="55">
      <c r="A5" s="70" t="inlineStr">
        <is>
          <t>Art.23</t>
        </is>
      </c>
      <c r="B5" s="70" t="inlineStr">
        <is>
          <t>Article 23 of Financial Regulation. Long-term lease requiring HoA approval.</t>
        </is>
      </c>
      <c r="C5" s="70" t="inlineStr">
        <is>
          <t>LCK</t>
        </is>
      </c>
    </row>
    <row r="6" ht="21.75" customHeight="1" s="55">
      <c r="A6" s="61" t="inlineStr">
        <is>
          <t>BAF</t>
        </is>
      </c>
      <c r="B6" s="61" t="inlineStr">
        <is>
          <t>Bank Account File. SUMMA entity: validated bank account (IBAN BIC holder).</t>
        </is>
      </c>
      <c r="C6" s="61" t="inlineStr">
        <is>
          <t>BAF</t>
        </is>
      </c>
    </row>
    <row r="7" ht="21.75" customHeight="1" s="55">
      <c r="A7" s="70" t="inlineStr">
        <is>
          <t>BCL</t>
        </is>
      </c>
      <c r="B7" s="70" t="inlineStr">
        <is>
          <t>Budget Commitment Line. SUMMA entity: annual budget allocation linked to an LCK.</t>
        </is>
      </c>
      <c r="C7" s="70" t="inlineStr">
        <is>
          <t>LCK</t>
        </is>
      </c>
    </row>
    <row r="8" ht="21.75" customHeight="1" s="55">
      <c r="A8" s="61" t="inlineStr">
        <is>
          <t>BIC</t>
        </is>
      </c>
      <c r="B8" s="61" t="inlineStr">
        <is>
          <t>Bank Identifier Code (SWIFT code). 8 or 11 character code identifying a bank.</t>
        </is>
      </c>
      <c r="C8" s="61" t="inlineStr">
        <is>
          <t>BAF</t>
        </is>
      </c>
    </row>
    <row r="9" ht="21.75" customHeight="1" s="55">
      <c r="A9" s="70" t="inlineStr">
        <is>
          <t>BR</t>
        </is>
      </c>
      <c r="B9" s="70" t="inlineStr">
        <is>
          <t>Business Rule. Numbered BRxxx. See Business Rules Catalog.</t>
        </is>
      </c>
      <c r="C9" s="70" t="n"/>
    </row>
    <row r="10" ht="21.75" customHeight="1" s="55">
      <c r="A10" s="61" t="inlineStr">
        <is>
          <t>DAS</t>
        </is>
      </c>
      <c r="B10" s="61" t="inlineStr">
        <is>
          <t>Delegation Administrative Support. Primary IMMOGEST user who creates and manages contracts.</t>
        </is>
      </c>
      <c r="C10" s="61" t="n"/>
    </row>
    <row r="11" ht="21.75" customHeight="1" s="55">
      <c r="A11" s="70" t="inlineStr">
        <is>
          <t>EEAS</t>
        </is>
      </c>
      <c r="B11" s="70" t="inlineStr">
        <is>
          <t>European External Action Service. EU diplomatic service operating 140+ delegations worldwide.</t>
        </is>
      </c>
      <c r="C11" s="70" t="n"/>
    </row>
    <row r="12" ht="21.75" customHeight="1" s="55">
      <c r="A12" s="61" t="inlineStr">
        <is>
          <t>EEAS Connect</t>
        </is>
      </c>
      <c r="B12" s="61" t="inlineStr">
        <is>
          <t>Expected OAuth 2.0 / OIDC authentication service for EEAS applications. To be confirmed.</t>
        </is>
      </c>
      <c r="C12" s="61" t="n"/>
    </row>
    <row r="13" ht="21.75" customHeight="1" s="55">
      <c r="A13" s="70" t="inlineStr">
        <is>
          <t>FH</t>
        </is>
      </c>
      <c r="B13" s="70" t="inlineStr">
        <is>
          <t>Financial Hub. SUMMA integration layer exposing Business Partner APIs.</t>
        </is>
      </c>
      <c r="C13" s="70" t="inlineStr">
        <is>
          <t>LCK/LEF/BAF</t>
        </is>
      </c>
    </row>
    <row r="14" ht="21.75" customHeight="1" s="55">
      <c r="A14" s="61" t="inlineStr">
        <is>
          <t>HoA</t>
        </is>
      </c>
      <c r="B14" s="61" t="inlineStr">
        <is>
          <t>Head of Administration. Approver for Art.23 contracts.</t>
        </is>
      </c>
      <c r="C14" s="61" t="n"/>
    </row>
    <row r="15" ht="21.75" customHeight="1" s="55">
      <c r="A15" s="70" t="inlineStr">
        <is>
          <t>IBAN</t>
        </is>
      </c>
      <c r="B15" s="70" t="inlineStr">
        <is>
          <t>International Bank Account Number. Must be masked per GDPR.</t>
        </is>
      </c>
      <c r="C15" s="70" t="inlineStr">
        <is>
          <t>BAF</t>
        </is>
      </c>
    </row>
    <row r="16" ht="21.75" customHeight="1" s="55">
      <c r="A16" s="61" t="inlineStr">
        <is>
          <t>IMMOGEST</t>
        </is>
      </c>
      <c r="B16" s="61" t="inlineStr">
        <is>
          <t>External Service Real Estate management system for EEAS delegations.</t>
        </is>
      </c>
      <c r="C16" s="61" t="n"/>
    </row>
    <row r="17" ht="21.75" customHeight="1" s="55">
      <c r="A17" s="70" t="inlineStr">
        <is>
          <t>LEF</t>
        </is>
      </c>
      <c r="B17" s="70" t="inlineStr">
        <is>
          <t>Legal Entity File. SUMMA entity: landlord identity (name address type sanctions).</t>
        </is>
      </c>
      <c r="C17" s="70" t="inlineStr">
        <is>
          <t>LEF</t>
        </is>
      </c>
    </row>
    <row r="18" ht="21.75" customHeight="1" s="55">
      <c r="A18" s="61" t="inlineStr">
        <is>
          <t>LCK</t>
        </is>
      </c>
      <c r="B18" s="61" t="inlineStr">
        <is>
          <t>Legal Commitment Key. SUMMA entity: contract financial commitment.</t>
        </is>
      </c>
      <c r="C18" s="61" t="inlineStr">
        <is>
          <t>LCK</t>
        </is>
      </c>
    </row>
    <row r="19" ht="21.75" customHeight="1" s="55">
      <c r="A19" s="70" t="inlineStr">
        <is>
          <t>SUMMA</t>
        </is>
      </c>
      <c r="B19" s="70" t="inlineStr">
        <is>
          <t>EU next-generation financial management system replacing ABAC.</t>
        </is>
      </c>
      <c r="C19" s="70" t="inlineStr">
        <is>
          <t>LCK/LEF/BAF</t>
        </is>
      </c>
    </row>
    <row r="20" ht="21.75" customHeight="1" s="55">
      <c r="A20" s="61" t="inlineStr">
        <is>
          <t>WAH</t>
        </is>
      </c>
      <c r="B20" s="61" t="inlineStr">
        <is>
          <t>Waiting for Approval by HoA. Contract workflow status.</t>
        </is>
      </c>
      <c r="C20" s="61" t="inlineStr">
        <is>
          <t>LCK</t>
        </is>
      </c>
    </row>
    <row r="21" ht="21.75" customHeight="1" s="55">
      <c r="A21" s="70" t="inlineStr">
        <is>
          <t>WAS</t>
        </is>
      </c>
      <c r="B21" s="70" t="inlineStr">
        <is>
          <t>Waiting for Approval by Supervisor. Contract workflow status.</t>
        </is>
      </c>
      <c r="C21" s="70" t="inlineStr">
        <is>
          <t>LCK</t>
        </is>
      </c>
    </row>
  </sheetData>
  <autoFilter ref="A1:C22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B45309"/>
    <outlinePr summaryBelow="1" summaryRight="1"/>
    <pageSetUpPr fitToPage="0"/>
  </sheetPr>
  <dimension ref="A1:F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54" min="1" max="2"/>
    <col width="18" customWidth="1" style="54" min="3" max="3"/>
    <col width="14" customWidth="1" style="54" min="4" max="4"/>
    <col width="18" customWidth="1" style="54" min="5" max="5"/>
    <col width="55" customWidth="1" style="54" min="6" max="6"/>
  </cols>
  <sheetData>
    <row r="1" ht="30" customHeight="1" s="55">
      <c r="A1" s="84" t="inlineStr">
        <is>
          <t>Cross-Reference Map</t>
        </is>
      </c>
    </row>
    <row r="2" ht="15" customHeight="1" s="55">
      <c r="A2" s="85" t="inlineStr">
        <is>
          <t>Shows all links between actors, workflows, rules, fields, requirements, and endpoints</t>
        </is>
      </c>
    </row>
    <row r="4" ht="31.5" customHeight="1" s="55">
      <c r="A4" s="71" t="inlineStr">
        <is>
          <t>Source Type</t>
        </is>
      </c>
      <c r="B4" s="71" t="inlineStr">
        <is>
          <t>Source ID</t>
        </is>
      </c>
      <c r="C4" s="71" t="inlineStr">
        <is>
          <t>Link Type</t>
        </is>
      </c>
      <c r="D4" s="71" t="inlineStr">
        <is>
          <t>Target Type</t>
        </is>
      </c>
      <c r="E4" s="71" t="inlineStr">
        <is>
          <t>Target ID</t>
        </is>
      </c>
      <c r="F4" s="71" t="inlineStr">
        <is>
          <t>Context</t>
        </is>
      </c>
    </row>
    <row r="5" ht="21.75" customHeight="1" s="55">
      <c r="A5" s="78" t="inlineStr">
        <is>
          <t>Workflow</t>
        </is>
      </c>
      <c r="B5" s="68" t="inlineStr">
        <is>
          <t>WF001</t>
        </is>
      </c>
      <c r="C5" s="86" t="inlineStr">
        <is>
          <t>uses actor</t>
        </is>
      </c>
      <c r="D5" s="87" t="inlineStr">
        <is>
          <t>Actor</t>
        </is>
      </c>
      <c r="E5" s="68" t="inlineStr">
        <is>
          <t>AC004</t>
        </is>
      </c>
      <c r="F5" s="61" t="inlineStr">
        <is>
          <t>DAS Staff creates contracts (steps 1-4, 10-12)</t>
        </is>
      </c>
    </row>
    <row r="6" ht="21.75" customHeight="1" s="55">
      <c r="A6" s="78" t="inlineStr">
        <is>
          <t>Workflow</t>
        </is>
      </c>
      <c r="B6" s="69" t="inlineStr">
        <is>
          <t>WF001</t>
        </is>
      </c>
      <c r="C6" s="88" t="inlineStr">
        <is>
          <t>uses actor</t>
        </is>
      </c>
      <c r="D6" s="87" t="inlineStr">
        <is>
          <t>Actor</t>
        </is>
      </c>
      <c r="E6" s="69" t="inlineStr">
        <is>
          <t>AC005</t>
        </is>
      </c>
      <c r="F6" s="70" t="inlineStr">
        <is>
          <t>Financial Hub provides data (steps 5-9)</t>
        </is>
      </c>
    </row>
    <row r="7" ht="21.75" customHeight="1" s="55">
      <c r="A7" s="78" t="inlineStr">
        <is>
          <t>Workflow</t>
        </is>
      </c>
      <c r="B7" s="68" t="inlineStr">
        <is>
          <t>WF001</t>
        </is>
      </c>
      <c r="C7" s="86" t="inlineStr">
        <is>
          <t>triggers rule</t>
        </is>
      </c>
      <c r="D7" s="89" t="inlineStr">
        <is>
          <t>Rule</t>
        </is>
      </c>
      <c r="E7" s="68" t="inlineStr">
        <is>
          <t>BR053</t>
        </is>
      </c>
      <c r="F7" s="61" t="inlineStr">
        <is>
          <t>LCK format validated at step 3</t>
        </is>
      </c>
    </row>
    <row r="8" ht="21.75" customHeight="1" s="55">
      <c r="A8" s="78" t="inlineStr">
        <is>
          <t>Workflow</t>
        </is>
      </c>
      <c r="B8" s="69" t="inlineStr">
        <is>
          <t>WF001</t>
        </is>
      </c>
      <c r="C8" s="88" t="inlineStr">
        <is>
          <t>triggers rule</t>
        </is>
      </c>
      <c r="D8" s="89" t="inlineStr">
        <is>
          <t>Rule</t>
        </is>
      </c>
      <c r="E8" s="69" t="inlineStr">
        <is>
          <t>BR055</t>
        </is>
      </c>
      <c r="F8" s="70" t="inlineStr">
        <is>
          <t>BAF validation at step 8</t>
        </is>
      </c>
    </row>
    <row r="9" ht="21.75" customHeight="1" s="55">
      <c r="A9" s="78" t="inlineStr">
        <is>
          <t>Workflow</t>
        </is>
      </c>
      <c r="B9" s="68" t="inlineStr">
        <is>
          <t>WF002</t>
        </is>
      </c>
      <c r="C9" s="86" t="inlineStr">
        <is>
          <t>triggers rule</t>
        </is>
      </c>
      <c r="D9" s="89" t="inlineStr">
        <is>
          <t>Rule</t>
        </is>
      </c>
      <c r="E9" s="68" t="inlineStr">
        <is>
          <t>BR064</t>
        </is>
      </c>
      <c r="F9" s="61" t="inlineStr">
        <is>
          <t>LCK error messages at steps 2-6</t>
        </is>
      </c>
    </row>
    <row r="10" ht="21.75" customHeight="1" s="55">
      <c r="A10" s="89" t="inlineStr">
        <is>
          <t>Rule</t>
        </is>
      </c>
      <c r="B10" s="69" t="inlineStr">
        <is>
          <t>BR003</t>
        </is>
      </c>
      <c r="C10" s="88" t="inlineStr">
        <is>
          <t>implements</t>
        </is>
      </c>
      <c r="D10" s="90" t="inlineStr">
        <is>
          <t>Requirement</t>
        </is>
      </c>
      <c r="E10" s="69" t="inlineStr">
        <is>
          <t>REQ-001</t>
        </is>
      </c>
      <c r="F10" s="70" t="inlineStr">
        <is>
          <t>Contract status lifecycle enforcement</t>
        </is>
      </c>
    </row>
    <row r="11" ht="21.75" customHeight="1" s="55">
      <c r="A11" s="89" t="inlineStr">
        <is>
          <t>Rule</t>
        </is>
      </c>
      <c r="B11" s="68" t="inlineStr">
        <is>
          <t>BR053</t>
        </is>
      </c>
      <c r="C11" s="86" t="inlineStr">
        <is>
          <t>implements</t>
        </is>
      </c>
      <c r="D11" s="90" t="inlineStr">
        <is>
          <t>Requirement</t>
        </is>
      </c>
      <c r="E11" s="68" t="inlineStr">
        <is>
          <t>REQ-003</t>
        </is>
      </c>
      <c r="F11" s="61" t="inlineStr">
        <is>
          <t>LCK format validation EAS.XXXXXX</t>
        </is>
      </c>
    </row>
    <row r="12" ht="21.75" customHeight="1" s="55">
      <c r="A12" s="89" t="inlineStr">
        <is>
          <t>Rule</t>
        </is>
      </c>
      <c r="B12" s="69" t="inlineStr">
        <is>
          <t>BR053</t>
        </is>
      </c>
      <c r="C12" s="88" t="inlineStr">
        <is>
          <t>validates field</t>
        </is>
      </c>
      <c r="D12" s="60" t="inlineStr">
        <is>
          <t>Field</t>
        </is>
      </c>
      <c r="E12" s="69" t="inlineStr">
        <is>
          <t>LCK.local_key</t>
        </is>
      </c>
      <c r="F12" s="70" t="inlineStr">
        <is>
          <t>Format check before API call</t>
        </is>
      </c>
    </row>
    <row r="13" ht="21.75" customHeight="1" s="55">
      <c r="A13" s="89" t="inlineStr">
        <is>
          <t>Rule</t>
        </is>
      </c>
      <c r="B13" s="68" t="inlineStr">
        <is>
          <t>BR055</t>
        </is>
      </c>
      <c r="C13" s="86" t="inlineStr">
        <is>
          <t>implements</t>
        </is>
      </c>
      <c r="D13" s="90" t="inlineStr">
        <is>
          <t>Requirement</t>
        </is>
      </c>
      <c r="E13" s="68" t="inlineStr">
        <is>
          <t>REQ-005</t>
        </is>
      </c>
      <c r="F13" s="61" t="inlineStr">
        <is>
          <t>BAF IBAN + status + warning validation</t>
        </is>
      </c>
    </row>
    <row r="14" ht="21.75" customHeight="1" s="55">
      <c r="A14" s="89" t="inlineStr">
        <is>
          <t>Rule</t>
        </is>
      </c>
      <c r="B14" s="69" t="inlineStr">
        <is>
          <t>BR055</t>
        </is>
      </c>
      <c r="C14" s="88" t="inlineStr">
        <is>
          <t>validates field</t>
        </is>
      </c>
      <c r="D14" s="60" t="inlineStr">
        <is>
          <t>Field</t>
        </is>
      </c>
      <c r="E14" s="69" t="inlineStr">
        <is>
          <t>LCK.early_warning</t>
        </is>
      </c>
      <c r="F14" s="70" t="inlineStr">
        <is>
          <t>earlyWarning[] must be empty</t>
        </is>
      </c>
    </row>
    <row r="15" ht="21.75" customHeight="1" s="55">
      <c r="A15" s="89" t="inlineStr">
        <is>
          <t>Rule</t>
        </is>
      </c>
      <c r="B15" s="68" t="inlineStr">
        <is>
          <t>BR055</t>
        </is>
      </c>
      <c r="C15" s="86" t="inlineStr">
        <is>
          <t>validates field</t>
        </is>
      </c>
      <c r="D15" s="60" t="inlineStr">
        <is>
          <t>Field</t>
        </is>
      </c>
      <c r="E15" s="68" t="inlineStr">
        <is>
          <t>BAF.baf_iban</t>
        </is>
      </c>
      <c r="F15" s="61" t="inlineStr">
        <is>
          <t>IBAN format check</t>
        </is>
      </c>
    </row>
    <row r="16" ht="21.75" customHeight="1" s="55">
      <c r="A16" s="89" t="inlineStr">
        <is>
          <t>Rule</t>
        </is>
      </c>
      <c r="B16" s="69" t="inlineStr">
        <is>
          <t>BR060</t>
        </is>
      </c>
      <c r="C16" s="88" t="inlineStr">
        <is>
          <t>implements</t>
        </is>
      </c>
      <c r="D16" s="90" t="inlineStr">
        <is>
          <t>Requirement</t>
        </is>
      </c>
      <c r="E16" s="69" t="inlineStr">
        <is>
          <t>REQ-006</t>
        </is>
      </c>
      <c r="F16" s="70" t="inlineStr">
        <is>
          <t>Auto-expiry at 02:01 AM</t>
        </is>
      </c>
    </row>
    <row r="17" ht="21.75" customHeight="1" s="55">
      <c r="A17" s="89" t="inlineStr">
        <is>
          <t>Rule</t>
        </is>
      </c>
      <c r="B17" s="68" t="inlineStr">
        <is>
          <t>BR060</t>
        </is>
      </c>
      <c r="C17" s="86" t="inlineStr">
        <is>
          <t>reads field</t>
        </is>
      </c>
      <c r="D17" s="60" t="inlineStr">
        <is>
          <t>Field</t>
        </is>
      </c>
      <c r="E17" s="68" t="inlineStr">
        <is>
          <t>LCK.end_date</t>
        </is>
      </c>
      <c r="F17" s="61" t="inlineStr">
        <is>
          <t>Compares end_date with current date</t>
        </is>
      </c>
    </row>
    <row r="18" ht="21.75" customHeight="1" s="55">
      <c r="A18" s="87" t="inlineStr">
        <is>
          <t>Endpoint</t>
        </is>
      </c>
      <c r="B18" s="69" t="inlineStr">
        <is>
          <t>EP01</t>
        </is>
      </c>
      <c r="C18" s="88" t="inlineStr">
        <is>
          <t>returns data for</t>
        </is>
      </c>
      <c r="D18" s="61" t="inlineStr">
        <is>
          <t>Entity</t>
        </is>
      </c>
      <c r="E18" s="69" t="inlineStr">
        <is>
          <t>LCK</t>
        </is>
      </c>
      <c r="F18" s="70" t="inlineStr">
        <is>
          <t>GET /legal-commitments/{localKey}</t>
        </is>
      </c>
    </row>
    <row r="19" ht="21.75" customHeight="1" s="55">
      <c r="A19" s="87" t="inlineStr">
        <is>
          <t>Endpoint</t>
        </is>
      </c>
      <c r="B19" s="68" t="inlineStr">
        <is>
          <t>EP01</t>
        </is>
      </c>
      <c r="C19" s="86" t="inlineStr">
        <is>
          <t>triggers</t>
        </is>
      </c>
      <c r="D19" s="87" t="inlineStr">
        <is>
          <t>Endpoint</t>
        </is>
      </c>
      <c r="E19" s="68" t="inlineStr">
        <is>
          <t>EP02+EP03</t>
        </is>
      </c>
      <c r="F19" s="61" t="inlineStr">
        <is>
          <t>Extracts LEF + BAF keys from contractors[]</t>
        </is>
      </c>
    </row>
    <row r="20" ht="21.75" customHeight="1" s="55">
      <c r="A20" s="87" t="inlineStr">
        <is>
          <t>Endpoint</t>
        </is>
      </c>
      <c r="B20" s="69" t="inlineStr">
        <is>
          <t>EP03</t>
        </is>
      </c>
      <c r="C20" s="88" t="inlineStr">
        <is>
          <t>enforces</t>
        </is>
      </c>
      <c r="D20" s="89" t="inlineStr">
        <is>
          <t>Rule</t>
        </is>
      </c>
      <c r="E20" s="69" t="inlineStr">
        <is>
          <t>BR055</t>
        </is>
      </c>
      <c r="F20" s="70" t="inlineStr">
        <is>
          <t>BAF validation on API response</t>
        </is>
      </c>
    </row>
    <row r="21" ht="21.75" customHeight="1" s="55">
      <c r="A21" s="90" t="inlineStr">
        <is>
          <t>Requirement</t>
        </is>
      </c>
      <c r="B21" s="68" t="inlineStr">
        <is>
          <t>REQ-003</t>
        </is>
      </c>
      <c r="C21" s="86" t="inlineStr">
        <is>
          <t>tested by</t>
        </is>
      </c>
      <c r="D21" s="61" t="inlineStr">
        <is>
          <t>Test Case</t>
        </is>
      </c>
      <c r="E21" s="68" t="inlineStr">
        <is>
          <t>TC-003</t>
        </is>
      </c>
      <c r="F21" s="61" t="inlineStr">
        <is>
          <t>Given invalid LCK format Then error shown</t>
        </is>
      </c>
    </row>
    <row r="22" ht="21.75" customHeight="1" s="55">
      <c r="A22" s="90" t="inlineStr">
        <is>
          <t>Requirement</t>
        </is>
      </c>
      <c r="B22" s="69" t="inlineStr">
        <is>
          <t>REQ-005</t>
        </is>
      </c>
      <c r="C22" s="88" t="inlineStr">
        <is>
          <t>tested by</t>
        </is>
      </c>
      <c r="D22" s="61" t="inlineStr">
        <is>
          <t>Test Case</t>
        </is>
      </c>
      <c r="E22" s="69" t="inlineStr">
        <is>
          <t>TC-005</t>
        </is>
      </c>
      <c r="F22" s="70" t="inlineStr">
        <is>
          <t>Given expired BAF Then contract blocked</t>
        </is>
      </c>
    </row>
    <row r="23" ht="21.75" customHeight="1" s="55">
      <c r="A23" s="60" t="inlineStr">
        <is>
          <t>Field</t>
        </is>
      </c>
      <c r="B23" s="68" t="inlineStr">
        <is>
          <t>LCK.notice_period</t>
        </is>
      </c>
      <c r="C23" s="86" t="inlineStr">
        <is>
          <t>status: TBI</t>
        </is>
      </c>
      <c r="D23" s="61" t="inlineStr">
        <is>
          <t>Source</t>
        </is>
      </c>
      <c r="E23" s="68" t="inlineStr">
        <is>
          <t>N/A</t>
        </is>
      </c>
      <c r="F23" s="61" t="inlineStr">
        <is>
          <t>Not found in Financial Hub response</t>
        </is>
      </c>
    </row>
    <row r="24" ht="21.75" customHeight="1" s="55">
      <c r="A24" s="60" t="inlineStr">
        <is>
          <t>Field</t>
        </is>
      </c>
      <c r="B24" s="69" t="inlineStr">
        <is>
          <t>LEF.lef_responsible_user</t>
        </is>
      </c>
      <c r="C24" s="88" t="inlineStr">
        <is>
          <t>status: Gap</t>
        </is>
      </c>
      <c r="D24" s="61" t="inlineStr">
        <is>
          <t>Source</t>
        </is>
      </c>
      <c r="E24" s="69" t="inlineStr">
        <is>
          <t>N/A</t>
        </is>
      </c>
      <c r="F24" s="70" t="inlineStr">
        <is>
          <t>Not in FH response — display-only field</t>
        </is>
      </c>
    </row>
  </sheetData>
  <autoFilter ref="A4:F24"/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0F766E"/>
    <outlinePr summaryBelow="1" summaryRight="1"/>
    <pageSetUpPr fitToPage="0"/>
  </sheetPr>
  <dimension ref="A1:I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5" customWidth="1" style="54" min="1" max="1"/>
    <col width="16" customWidth="1" style="54" min="2" max="9"/>
  </cols>
  <sheetData>
    <row r="1" ht="27.75" customHeight="1" s="55">
      <c r="A1" s="91" t="inlineStr">
        <is>
          <t>RACI Matrix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</row>
    <row r="2" ht="15" customHeight="1" s="55">
      <c r="A2" s="92" t="inlineStr">
        <is>
          <t>R = Responsible (does the work)  |  A = Accountable (owns the outcome)  |  C = Consulted (provides input)  |  I = Informed (kept updated)</t>
        </is>
      </c>
      <c r="B2" s="57" t="n"/>
      <c r="C2" s="57" t="n"/>
      <c r="D2" s="57" t="n"/>
      <c r="E2" s="57" t="n"/>
      <c r="F2" s="57" t="n"/>
      <c r="G2" s="57" t="n"/>
      <c r="H2" s="57" t="n"/>
      <c r="I2" s="57" t="n"/>
    </row>
    <row r="4" ht="31.5" customHeight="1" s="55">
      <c r="A4" s="67" t="inlineStr">
        <is>
          <t>Deliverable / Activity</t>
        </is>
      </c>
      <c r="B4" s="67" t="inlineStr">
        <is>
          <t>HQ User Admin</t>
        </is>
      </c>
      <c r="C4" s="67" t="inlineStr">
        <is>
          <t>HQ Admin</t>
        </is>
      </c>
      <c r="D4" s="67" t="inlineStr">
        <is>
          <t>Deleg Admin</t>
        </is>
      </c>
      <c r="E4" s="67" t="inlineStr">
        <is>
          <t>DAS Staff</t>
        </is>
      </c>
      <c r="F4" s="67" t="inlineStr">
        <is>
          <t>Financial Hub</t>
        </is>
      </c>
      <c r="G4" s="67" t="inlineStr">
        <is>
          <t>ABAC Legacy</t>
        </is>
      </c>
      <c r="H4" s="67" t="inlineStr">
        <is>
          <t>Auto-Expiry</t>
        </is>
      </c>
      <c r="I4" s="67" t="inlineStr">
        <is>
          <t>Auto-Archive</t>
        </is>
      </c>
    </row>
    <row r="5" ht="15" customHeight="1" s="55">
      <c r="A5" s="66" t="inlineStr">
        <is>
          <t>Project charter</t>
        </is>
      </c>
      <c r="B5" s="93" t="inlineStr">
        <is>
          <t>I</t>
        </is>
      </c>
      <c r="C5" s="94" t="inlineStr">
        <is>
          <t>A</t>
        </is>
      </c>
      <c r="D5" s="95" t="n"/>
      <c r="E5" s="96" t="inlineStr">
        <is>
          <t>C</t>
        </is>
      </c>
      <c r="F5" s="95" t="n"/>
      <c r="G5" s="95" t="n"/>
      <c r="H5" s="95" t="n"/>
      <c r="I5" s="95" t="n"/>
    </row>
    <row r="6" ht="15" customHeight="1" s="55">
      <c r="A6" s="97" t="inlineStr">
        <is>
          <t>Stakeholder analysis</t>
        </is>
      </c>
      <c r="B6" s="95" t="n"/>
      <c r="C6" s="98" t="inlineStr">
        <is>
          <t>R</t>
        </is>
      </c>
      <c r="D6" s="96" t="inlineStr">
        <is>
          <t>C</t>
        </is>
      </c>
      <c r="E6" s="96" t="inlineStr">
        <is>
          <t>C</t>
        </is>
      </c>
      <c r="F6" s="95" t="n"/>
      <c r="G6" s="95" t="n"/>
      <c r="H6" s="95" t="n"/>
      <c r="I6" s="95" t="n"/>
    </row>
    <row r="7" ht="15" customHeight="1" s="55">
      <c r="A7" s="66" t="inlineStr">
        <is>
          <t>As-Is documentation</t>
        </is>
      </c>
      <c r="B7" s="95" t="n"/>
      <c r="C7" s="94" t="inlineStr">
        <is>
          <t>A</t>
        </is>
      </c>
      <c r="D7" s="95" t="n"/>
      <c r="E7" s="98" t="inlineStr">
        <is>
          <t>R</t>
        </is>
      </c>
      <c r="F7" s="95" t="n"/>
      <c r="G7" s="96" t="inlineStr">
        <is>
          <t>C</t>
        </is>
      </c>
      <c r="H7" s="95" t="n"/>
      <c r="I7" s="95" t="n"/>
    </row>
    <row r="8" ht="15" customHeight="1" s="55">
      <c r="A8" s="97" t="inlineStr">
        <is>
          <t>To-Be architecture</t>
        </is>
      </c>
      <c r="B8" s="95" t="n"/>
      <c r="C8" s="94" t="inlineStr">
        <is>
          <t>A</t>
        </is>
      </c>
      <c r="D8" s="95" t="n"/>
      <c r="E8" s="95" t="n"/>
      <c r="F8" s="96" t="inlineStr">
        <is>
          <t>C</t>
        </is>
      </c>
      <c r="G8" s="95" t="n"/>
      <c r="H8" s="95" t="n"/>
      <c r="I8" s="95" t="n"/>
    </row>
    <row r="9" ht="15" customHeight="1" s="55">
      <c r="A9" s="66" t="inlineStr">
        <is>
          <t>Business rules catalogue</t>
        </is>
      </c>
      <c r="B9" s="95" t="n"/>
      <c r="C9" s="94" t="inlineStr">
        <is>
          <t>A</t>
        </is>
      </c>
      <c r="D9" s="95" t="n"/>
      <c r="E9" s="98" t="inlineStr">
        <is>
          <t>R</t>
        </is>
      </c>
      <c r="F9" s="95" t="n"/>
      <c r="G9" s="95" t="n"/>
      <c r="H9" s="95" t="n"/>
      <c r="I9" s="95" t="n"/>
    </row>
    <row r="10" ht="15" customHeight="1" s="55">
      <c r="A10" s="97" t="inlineStr">
        <is>
          <t>Field mapping document</t>
        </is>
      </c>
      <c r="B10" s="95" t="n"/>
      <c r="C10" s="94" t="inlineStr">
        <is>
          <t>A</t>
        </is>
      </c>
      <c r="D10" s="95" t="n"/>
      <c r="E10" s="98" t="inlineStr">
        <is>
          <t>R</t>
        </is>
      </c>
      <c r="F10" s="96" t="inlineStr">
        <is>
          <t>C</t>
        </is>
      </c>
      <c r="G10" s="95" t="n"/>
      <c r="H10" s="95" t="n"/>
      <c r="I10" s="95" t="n"/>
    </row>
    <row r="11" ht="15" customHeight="1" s="55">
      <c r="A11" s="66" t="inlineStr">
        <is>
          <t>API integration specs</t>
        </is>
      </c>
      <c r="B11" s="95" t="n"/>
      <c r="C11" s="94" t="inlineStr">
        <is>
          <t>A</t>
        </is>
      </c>
      <c r="D11" s="95" t="n"/>
      <c r="E11" s="95" t="n"/>
      <c r="F11" s="98" t="inlineStr">
        <is>
          <t>R</t>
        </is>
      </c>
      <c r="G11" s="95" t="n"/>
      <c r="H11" s="95" t="n"/>
      <c r="I11" s="95" t="n"/>
    </row>
    <row r="12" ht="15" customHeight="1" s="55">
      <c r="A12" s="97" t="inlineStr">
        <is>
          <t>Compliance assessment</t>
        </is>
      </c>
      <c r="B12" s="98" t="inlineStr">
        <is>
          <t>R</t>
        </is>
      </c>
      <c r="C12" s="94" t="inlineStr">
        <is>
          <t>A</t>
        </is>
      </c>
      <c r="D12" s="95" t="n"/>
      <c r="E12" s="95" t="n"/>
      <c r="F12" s="95" t="n"/>
      <c r="G12" s="95" t="n"/>
      <c r="H12" s="95" t="n"/>
      <c r="I12" s="95" t="n"/>
    </row>
    <row r="13" ht="15" customHeight="1" s="55">
      <c r="A13" s="66" t="inlineStr">
        <is>
          <t>Test strategy</t>
        </is>
      </c>
      <c r="B13" s="95" t="n"/>
      <c r="C13" s="94" t="inlineStr">
        <is>
          <t>A</t>
        </is>
      </c>
      <c r="D13" s="95" t="n"/>
      <c r="E13" s="98" t="inlineStr">
        <is>
          <t>R</t>
        </is>
      </c>
      <c r="F13" s="95" t="n"/>
      <c r="G13" s="95" t="n"/>
      <c r="H13" s="95" t="n"/>
      <c r="I13" s="95" t="n"/>
    </row>
    <row r="14" ht="15" customHeight="1" s="55">
      <c r="A14" s="97" t="inlineStr">
        <is>
          <t>UAT execution</t>
        </is>
      </c>
      <c r="B14" s="95" t="n"/>
      <c r="C14" s="94" t="inlineStr">
        <is>
          <t>A</t>
        </is>
      </c>
      <c r="D14" s="98" t="inlineStr">
        <is>
          <t>R</t>
        </is>
      </c>
      <c r="E14" s="98" t="inlineStr">
        <is>
          <t>R</t>
        </is>
      </c>
      <c r="F14" s="95" t="n"/>
      <c r="G14" s="95" t="n"/>
      <c r="H14" s="95" t="n"/>
      <c r="I14" s="95" t="n"/>
    </row>
    <row r="15" ht="15" customHeight="1" s="55">
      <c r="A15" s="66" t="inlineStr">
        <is>
          <t>Cutover plan</t>
        </is>
      </c>
      <c r="B15" s="95" t="n"/>
      <c r="C15" s="94" t="inlineStr">
        <is>
          <t>A</t>
        </is>
      </c>
      <c r="D15" s="95" t="n"/>
      <c r="E15" s="95" t="n"/>
      <c r="F15" s="96" t="inlineStr">
        <is>
          <t>C</t>
        </is>
      </c>
      <c r="G15" s="96" t="inlineStr">
        <is>
          <t>C</t>
        </is>
      </c>
      <c r="H15" s="95" t="n"/>
      <c r="I15" s="95" t="n"/>
    </row>
    <row r="16" ht="15" customHeight="1" s="55">
      <c r="A16" s="97" t="inlineStr">
        <is>
          <t>Training delivery</t>
        </is>
      </c>
      <c r="B16" s="95" t="n"/>
      <c r="C16" s="98" t="inlineStr">
        <is>
          <t>R</t>
        </is>
      </c>
      <c r="D16" s="93" t="inlineStr">
        <is>
          <t>I</t>
        </is>
      </c>
      <c r="E16" s="93" t="inlineStr">
        <is>
          <t>I</t>
        </is>
      </c>
      <c r="F16" s="95" t="n"/>
      <c r="G16" s="95" t="n"/>
      <c r="H16" s="95" t="n"/>
      <c r="I16" s="95" t="n"/>
    </row>
    <row r="17" ht="15" customHeight="1" s="55">
      <c r="A17" s="66" t="inlineStr">
        <is>
          <t>Go-live decision</t>
        </is>
      </c>
      <c r="B17" s="94" t="inlineStr">
        <is>
          <t>A</t>
        </is>
      </c>
      <c r="C17" s="98" t="inlineStr">
        <is>
          <t>R</t>
        </is>
      </c>
      <c r="D17" s="96" t="inlineStr">
        <is>
          <t>C</t>
        </is>
      </c>
      <c r="E17" s="95" t="n"/>
      <c r="F17" s="95" t="n"/>
      <c r="G17" s="95" t="n"/>
      <c r="H17" s="95" t="n"/>
      <c r="I17" s="95" t="n"/>
    </row>
    <row r="18" ht="15" customHeight="1" s="55">
      <c r="A18" s="97" t="inlineStr">
        <is>
          <t>Hypercare support</t>
        </is>
      </c>
      <c r="B18" s="95" t="n"/>
      <c r="C18" s="98" t="inlineStr">
        <is>
          <t>R</t>
        </is>
      </c>
      <c r="D18" s="98" t="inlineStr">
        <is>
          <t>R</t>
        </is>
      </c>
      <c r="E18" s="93" t="inlineStr">
        <is>
          <t>I</t>
        </is>
      </c>
      <c r="F18" s="95" t="n"/>
      <c r="G18" s="95" t="n"/>
      <c r="H18" s="95" t="n"/>
      <c r="I18" s="95" t="n"/>
    </row>
  </sheetData>
  <autoFilter ref="A4:I18"/>
  <mergeCells count="2">
    <mergeCell ref="A1:I1"/>
    <mergeCell ref="A2:I2"/>
  </mergeCells>
  <dataValidations count="8">
    <dataValidation sqref="B5:B18" showDropDown="0" showInputMessage="0" showErrorMessage="0" allowBlank="1" error="Select a valid option" type="list" errorStyle="stop" operator="between">
      <formula1>"R,A,C,I,"</formula1>
      <formula2>0</formula2>
    </dataValidation>
    <dataValidation sqref="C5:C18" showDropDown="0" showInputMessage="0" showErrorMessage="0" allowBlank="1" error="Select a valid option" type="list" errorStyle="stop" operator="between">
      <formula1>"R,A,C,I,"</formula1>
      <formula2>0</formula2>
    </dataValidation>
    <dataValidation sqref="D5:D18" showDropDown="0" showInputMessage="0" showErrorMessage="0" allowBlank="1" error="Select a valid option" type="list" errorStyle="stop" operator="between">
      <formula1>"R,A,C,I,"</formula1>
      <formula2>0</formula2>
    </dataValidation>
    <dataValidation sqref="E5:E18" showDropDown="0" showInputMessage="0" showErrorMessage="0" allowBlank="1" error="Select a valid option" type="list" errorStyle="stop" operator="between">
      <formula1>"R,A,C,I,"</formula1>
      <formula2>0</formula2>
    </dataValidation>
    <dataValidation sqref="F5:F18" showDropDown="0" showInputMessage="0" showErrorMessage="0" allowBlank="1" error="Select a valid option" type="list" errorStyle="stop" operator="between">
      <formula1>"R,A,C,I,"</formula1>
      <formula2>0</formula2>
    </dataValidation>
    <dataValidation sqref="G5:G18" showDropDown="0" showInputMessage="0" showErrorMessage="0" allowBlank="1" error="Select a valid option" type="list" errorStyle="stop" operator="between">
      <formula1>"R,A,C,I,"</formula1>
      <formula2>0</formula2>
    </dataValidation>
    <dataValidation sqref="H5:H18" showDropDown="0" showInputMessage="0" showErrorMessage="0" allowBlank="1" error="Select a valid option" type="list" errorStyle="stop" operator="between">
      <formula1>"R,A,C,I,"</formula1>
      <formula2>0</formula2>
    </dataValidation>
    <dataValidation sqref="I5:I18" showDropDown="0" showInputMessage="0" showErrorMessage="0" allowBlank="1" error="Select a valid option" type="list" errorStyle="stop" operator="between">
      <formula1>"R,A,C,I,"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991B1B"/>
    <outlinePr summaryBelow="1" summaryRight="1"/>
    <pageSetUpPr fitToPage="0"/>
  </sheetPr>
  <dimension ref="A1:J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54" min="1" max="1"/>
    <col width="45" customWidth="1" style="54" min="2" max="2"/>
    <col width="16" customWidth="1" style="54" min="3" max="3"/>
    <col width="14" customWidth="1" style="54" min="4" max="5"/>
    <col width="8" customWidth="1" style="54" min="6" max="6"/>
    <col width="45" customWidth="1" style="54" min="7" max="7"/>
    <col width="18" customWidth="1" style="54" min="8" max="8"/>
    <col width="12" customWidth="1" style="54" min="9" max="10"/>
  </cols>
  <sheetData>
    <row r="1" ht="27.75" customHeight="1" s="55">
      <c r="A1" s="91" t="inlineStr">
        <is>
          <t>Risk Register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</row>
    <row r="3" ht="31.5" customHeight="1" s="55">
      <c r="A3" s="99" t="inlineStr">
        <is>
          <t>Risk ID</t>
        </is>
      </c>
      <c r="B3" s="99" t="inlineStr">
        <is>
          <t>Description</t>
        </is>
      </c>
      <c r="C3" s="99" t="inlineStr">
        <is>
          <t>Category</t>
        </is>
      </c>
      <c r="D3" s="99" t="inlineStr">
        <is>
          <t>Probability (1-5)</t>
        </is>
      </c>
      <c r="E3" s="99" t="inlineStr">
        <is>
          <t>Impact (1-5)</t>
        </is>
      </c>
      <c r="F3" s="99" t="inlineStr">
        <is>
          <t>Score</t>
        </is>
      </c>
      <c r="G3" s="99" t="inlineStr">
        <is>
          <t>Mitigation</t>
        </is>
      </c>
      <c r="H3" s="99" t="inlineStr">
        <is>
          <t>Owner</t>
        </is>
      </c>
      <c r="I3" s="99" t="inlineStr">
        <is>
          <t>Status</t>
        </is>
      </c>
      <c r="J3" s="99" t="inlineStr">
        <is>
          <t>Linked REQ</t>
        </is>
      </c>
    </row>
    <row r="4" ht="23.85" customHeight="1" s="55">
      <c r="A4" s="68" t="inlineStr">
        <is>
          <t>RSK-001</t>
        </is>
      </c>
      <c r="B4" s="61" t="inlineStr">
        <is>
          <t>Financial Hub API response structure differs from ABAC flat files requiring extensive mapping rework</t>
        </is>
      </c>
      <c r="C4" s="61" t="inlineStr">
        <is>
          <t>Integration</t>
        </is>
      </c>
      <c r="D4" s="95" t="n">
        <v>4</v>
      </c>
      <c r="E4" s="95" t="n">
        <v>4</v>
      </c>
      <c r="F4" s="100">
        <f>D4*E4</f>
        <v/>
      </c>
      <c r="G4" s="61" t="inlineStr">
        <is>
          <t>Build adapter layer. Validate mapping against test data from FH sandbox. Maintain ABAC fallback for 3 months.</t>
        </is>
      </c>
      <c r="H4" s="61" t="inlineStr">
        <is>
          <t>Integration Lead</t>
        </is>
      </c>
      <c r="I4" s="61" t="inlineStr">
        <is>
          <t>Mitigating</t>
        </is>
      </c>
      <c r="J4" s="68" t="inlineStr">
        <is>
          <t>REQ-007</t>
        </is>
      </c>
    </row>
    <row r="5" ht="23.85" customHeight="1" s="55">
      <c r="A5" s="69" t="inlineStr">
        <is>
          <t>RSK-002</t>
        </is>
      </c>
      <c r="B5" s="70" t="inlineStr">
        <is>
          <t>7 contract fields (notice_period, deposits, agency_fees) not available in Financial Hub</t>
        </is>
      </c>
      <c r="C5" s="70" t="inlineStr">
        <is>
          <t>Data Quality</t>
        </is>
      </c>
      <c r="D5" s="101" t="n">
        <v>5</v>
      </c>
      <c r="E5" s="101" t="n">
        <v>3</v>
      </c>
      <c r="F5" s="102">
        <f>D5*E5</f>
        <v/>
      </c>
      <c r="G5" s="70" t="inlineStr">
        <is>
          <t>Confirm with SUMMA team. If not available: manual entry fields with validation. Track as TBI.</t>
        </is>
      </c>
      <c r="H5" s="70" t="inlineStr">
        <is>
          <t>BA Lead</t>
        </is>
      </c>
      <c r="I5" s="70" t="inlineStr">
        <is>
          <t>Open</t>
        </is>
      </c>
      <c r="J5" s="69" t="n"/>
    </row>
    <row r="6" ht="23.85" customHeight="1" s="55">
      <c r="A6" s="68" t="inlineStr">
        <is>
          <t>RSK-003</t>
        </is>
      </c>
      <c r="B6" s="61" t="inlineStr">
        <is>
          <t>140+ delegations must transition without service interruption during cutover</t>
        </is>
      </c>
      <c r="C6" s="61" t="inlineStr">
        <is>
          <t>Operational</t>
        </is>
      </c>
      <c r="D6" s="95" t="n">
        <v>3</v>
      </c>
      <c r="E6" s="95" t="n">
        <v>5</v>
      </c>
      <c r="F6" s="100">
        <f>D6*E6</f>
        <v/>
      </c>
      <c r="G6" s="61" t="inlineStr">
        <is>
          <t>Phased rollout by region (5 waves). Parallel run period of 2 weeks per wave. Rollback procedure tested.</t>
        </is>
      </c>
      <c r="H6" s="61" t="inlineStr">
        <is>
          <t>Project Manager</t>
        </is>
      </c>
      <c r="I6" s="61" t="inlineStr">
        <is>
          <t>Open</t>
        </is>
      </c>
      <c r="J6" s="68" t="n"/>
    </row>
    <row r="7" ht="23.85" customHeight="1" s="55">
      <c r="A7" s="69" t="inlineStr">
        <is>
          <t>RSK-004</t>
        </is>
      </c>
      <c r="B7" s="70" t="inlineStr">
        <is>
          <t>No Financial Hub sandbox environment available for integration testing</t>
        </is>
      </c>
      <c r="C7" s="70" t="inlineStr">
        <is>
          <t>Technical</t>
        </is>
      </c>
      <c r="D7" s="101" t="n">
        <v>4</v>
      </c>
      <c r="E7" s="101" t="n">
        <v>4</v>
      </c>
      <c r="F7" s="102">
        <f>D7*E7</f>
        <v/>
      </c>
      <c r="G7" s="70" t="inlineStr">
        <is>
          <t>Request sandbox from DG BUDG. If unavailable: build mock service from API specs. Record/replay pattern.</t>
        </is>
      </c>
      <c r="H7" s="70" t="inlineStr">
        <is>
          <t>Integration Lead</t>
        </is>
      </c>
      <c r="I7" s="70" t="inlineStr">
        <is>
          <t>Escalated</t>
        </is>
      </c>
      <c r="J7" s="69" t="inlineStr">
        <is>
          <t>REQ-007</t>
        </is>
      </c>
    </row>
    <row r="8" ht="23.85" customHeight="1" s="55">
      <c r="A8" s="68" t="inlineStr">
        <is>
          <t>RSK-005</t>
        </is>
      </c>
      <c r="B8" s="61" t="inlineStr">
        <is>
          <t>ABAC decommission deadline creates hard cutover pressure with no extension possible</t>
        </is>
      </c>
      <c r="C8" s="61" t="inlineStr">
        <is>
          <t>External</t>
        </is>
      </c>
      <c r="D8" s="95" t="n">
        <v>5</v>
      </c>
      <c r="E8" s="95" t="n">
        <v>5</v>
      </c>
      <c r="F8" s="100">
        <f>D8*E8</f>
        <v/>
      </c>
      <c r="G8" s="61" t="inlineStr">
        <is>
          <t>Negotiate grace period. Identify minimum viable scope for phase 1. Contingency: direct DB migration without FH.</t>
        </is>
      </c>
      <c r="H8" s="61" t="inlineStr">
        <is>
          <t>Project Sponsor</t>
        </is>
      </c>
      <c r="I8" s="61" t="inlineStr">
        <is>
          <t>Open</t>
        </is>
      </c>
      <c r="J8" s="68" t="n"/>
    </row>
    <row r="9" ht="23.85" customHeight="1" s="55">
      <c r="A9" s="69" t="inlineStr">
        <is>
          <t>RSK-006</t>
        </is>
      </c>
      <c r="B9" s="70" t="inlineStr">
        <is>
          <t>GDPR-sensitive fields (IBAN, landlord name, national ID) require encryption and masking not yet implemented</t>
        </is>
      </c>
      <c r="C9" s="70" t="inlineStr">
        <is>
          <t>Regulatory</t>
        </is>
      </c>
      <c r="D9" s="101" t="n">
        <v>3</v>
      </c>
      <c r="E9" s="101" t="n">
        <v>4</v>
      </c>
      <c r="F9" s="102">
        <f>D9*E9</f>
        <v/>
      </c>
      <c r="G9" s="70" t="inlineStr">
        <is>
          <t>Implement IBAN masking (show last 4 digits). Encrypt at rest. DPIA before go-live.</t>
        </is>
      </c>
      <c r="H9" s="70" t="inlineStr">
        <is>
          <t>Security Officer</t>
        </is>
      </c>
      <c r="I9" s="70" t="inlineStr">
        <is>
          <t>Mitigating</t>
        </is>
      </c>
      <c r="J9" s="69" t="inlineStr">
        <is>
          <t>REQ-008</t>
        </is>
      </c>
    </row>
  </sheetData>
  <autoFilter ref="A3:J9"/>
  <mergeCells count="1">
    <mergeCell ref="A1:J1"/>
  </mergeCells>
  <conditionalFormatting sqref="F4:F9">
    <cfRule type="cellIs" rank="0" priority="2" equalAverage="0" operator="greaterThanOrEqual" aboveAverage="0" dxfId="19" text="" percent="0" bottom="0">
      <formula>15</formula>
    </cfRule>
    <cfRule type="cellIs" rank="0" priority="3" equalAverage="0" operator="between" aboveAverage="0" dxfId="13" text="" percent="0" bottom="0">
      <formula>8</formula>
      <formula>14</formula>
    </cfRule>
    <cfRule type="cellIs" rank="0" priority="4" equalAverage="0" operator="lessThanOrEqual" aboveAverage="0" dxfId="14" text="" percent="0" bottom="0">
      <formula>7</formula>
    </cfRule>
  </conditionalFormatting>
  <dataValidations count="2">
    <dataValidation sqref="C4:C9" showDropDown="0" showInputMessage="0" showErrorMessage="0" allowBlank="1" error="Select a valid option" type="list" errorStyle="stop" operator="between">
      <formula1>"Technical,Operational,Regulatory,Financial,Organisational,External,Data Quality,Integration"</formula1>
      <formula2>0</formula2>
    </dataValidation>
    <dataValidation sqref="I4:I9" showDropDown="0" showInputMessage="0" showErrorMessage="0" allowBlank="1" error="Select a valid option" type="list" errorStyle="stop" operator="between">
      <formula1>"Open,Mitigating,Accepted,Closed,Escalated"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tabColor rgb="FF7C3AED"/>
    <outlinePr summaryBelow="1" summaryRight="1"/>
    <pageSetUpPr fitToPage="0"/>
  </sheetPr>
  <dimension ref="A1:H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54" min="1" max="1"/>
    <col width="16" customWidth="1" style="54" min="2" max="2"/>
    <col width="45" customWidth="1" style="54" min="3" max="3"/>
    <col width="18" customWidth="1" style="54" min="4" max="4"/>
    <col width="16" customWidth="1" style="54" min="5" max="5"/>
    <col width="30" customWidth="1" style="54" min="6" max="6"/>
    <col width="10" customWidth="1" style="54" min="7" max="7"/>
    <col width="12" customWidth="1" style="54" min="8" max="8"/>
  </cols>
  <sheetData>
    <row r="1" ht="27.75" customHeight="1" s="55">
      <c r="A1" s="91" t="inlineStr">
        <is>
          <t>Non-Functional Requirements</t>
        </is>
      </c>
      <c r="B1" s="57" t="n"/>
      <c r="C1" s="57" t="n"/>
      <c r="D1" s="57" t="n"/>
      <c r="E1" s="57" t="n"/>
      <c r="F1" s="57" t="n"/>
      <c r="G1" s="57" t="n"/>
      <c r="H1" s="57" t="n"/>
    </row>
    <row r="3" ht="31.5" customHeight="1" s="55">
      <c r="A3" s="103" t="inlineStr">
        <is>
          <t>NFR ID</t>
        </is>
      </c>
      <c r="B3" s="103" t="inlineStr">
        <is>
          <t>Category</t>
        </is>
      </c>
      <c r="C3" s="103" t="inlineStr">
        <is>
          <t>Requirement</t>
        </is>
      </c>
      <c r="D3" s="103" t="inlineStr">
        <is>
          <t>Metric</t>
        </is>
      </c>
      <c r="E3" s="103" t="inlineStr">
        <is>
          <t>Target</t>
        </is>
      </c>
      <c r="F3" s="103" t="inlineStr">
        <is>
          <t>Measurement Method</t>
        </is>
      </c>
      <c r="G3" s="103" t="inlineStr">
        <is>
          <t>Priority</t>
        </is>
      </c>
      <c r="H3" s="103" t="inlineStr">
        <is>
          <t>Linked Entity</t>
        </is>
      </c>
    </row>
    <row r="4" ht="23.85" customHeight="1" s="55">
      <c r="A4" s="68" t="inlineStr">
        <is>
          <t>NFR-001</t>
        </is>
      </c>
      <c r="B4" s="61" t="inlineStr">
        <is>
          <t>Performance</t>
        </is>
      </c>
      <c r="C4" s="61" t="inlineStr">
        <is>
          <t>LCK pull operation (EP01 + EP02 + EP03) must complete within 3 seconds end-to-end</t>
        </is>
      </c>
      <c r="D4" s="61" t="inlineStr">
        <is>
          <t>Response time (p95)</t>
        </is>
      </c>
      <c r="E4" s="61" t="inlineStr">
        <is>
          <t>&lt; 3,000 ms</t>
        </is>
      </c>
      <c r="F4" s="61" t="inlineStr">
        <is>
          <t>APM monitoring on production. Load test with 50 concurrent users.</t>
        </is>
      </c>
      <c r="G4" s="95" t="inlineStr">
        <is>
          <t>Critical</t>
        </is>
      </c>
      <c r="H4" s="68" t="inlineStr">
        <is>
          <t>LCK</t>
        </is>
      </c>
    </row>
    <row r="5" ht="23.85" customHeight="1" s="55">
      <c r="A5" s="69" t="inlineStr">
        <is>
          <t>NFR-002</t>
        </is>
      </c>
      <c r="B5" s="70" t="inlineStr">
        <is>
          <t>Availability</t>
        </is>
      </c>
      <c r="C5" s="70" t="inlineStr">
        <is>
          <t>IMMOGEST must be available 99.5% during business hours (07:00-19:00 CET) excluding planned maintenance</t>
        </is>
      </c>
      <c r="D5" s="70" t="inlineStr">
        <is>
          <t>Uptime percentage</t>
        </is>
      </c>
      <c r="E5" s="70" t="inlineStr">
        <is>
          <t>&gt; 99.5%</t>
        </is>
      </c>
      <c r="F5" s="70" t="inlineStr">
        <is>
          <t>Synthetic monitoring. Monthly SLA report.</t>
        </is>
      </c>
      <c r="G5" s="101" t="inlineStr">
        <is>
          <t>High</t>
        </is>
      </c>
      <c r="H5" s="70" t="n"/>
    </row>
    <row r="6" ht="23.85" customHeight="1" s="55">
      <c r="A6" s="68" t="inlineStr">
        <is>
          <t>NFR-003</t>
        </is>
      </c>
      <c r="B6" s="61" t="inlineStr">
        <is>
          <t>Security</t>
        </is>
      </c>
      <c r="C6" s="61" t="inlineStr">
        <is>
          <t>IBAN must be encrypted at rest (AES-256) and masked in all UI displays and logs</t>
        </is>
      </c>
      <c r="D6" s="61" t="inlineStr">
        <is>
          <t>Encryption coverage</t>
        </is>
      </c>
      <c r="E6" s="61" t="inlineStr">
        <is>
          <t>100% of IBAN fields</t>
        </is>
      </c>
      <c r="F6" s="61" t="inlineStr">
        <is>
          <t>Security scan. Penetration test. Log audit.</t>
        </is>
      </c>
      <c r="G6" s="95" t="inlineStr">
        <is>
          <t>Critical</t>
        </is>
      </c>
      <c r="H6" s="68" t="inlineStr">
        <is>
          <t>BAF</t>
        </is>
      </c>
    </row>
    <row r="7" ht="23.85" customHeight="1" s="55">
      <c r="A7" s="69" t="inlineStr">
        <is>
          <t>NFR-004</t>
        </is>
      </c>
      <c r="B7" s="70" t="inlineStr">
        <is>
          <t>Scalability</t>
        </is>
      </c>
      <c r="C7" s="70" t="inlineStr">
        <is>
          <t>System must support 140 delegations with up to 10 concurrent contract creation flows per delegation</t>
        </is>
      </c>
      <c r="D7" s="70" t="inlineStr">
        <is>
          <t>Concurrent users</t>
        </is>
      </c>
      <c r="E7" s="70" t="inlineStr">
        <is>
          <t>1,400 simultaneous</t>
        </is>
      </c>
      <c r="F7" s="70" t="inlineStr">
        <is>
          <t>Load test simulating peak usage across all delegations.</t>
        </is>
      </c>
      <c r="G7" s="101" t="inlineStr">
        <is>
          <t>High</t>
        </is>
      </c>
      <c r="H7" s="70" t="n"/>
    </row>
    <row r="8" ht="23.85" customHeight="1" s="55">
      <c r="A8" s="68" t="inlineStr">
        <is>
          <t>NFR-005</t>
        </is>
      </c>
      <c r="B8" s="61" t="inlineStr">
        <is>
          <t>Disaster Recovery</t>
        </is>
      </c>
      <c r="C8" s="61" t="inlineStr">
        <is>
          <t>Recovery Point Objective (RPO) of 1 hour and Recovery Time Objective (RTO) of 4 hours</t>
        </is>
      </c>
      <c r="D8" s="61" t="inlineStr">
        <is>
          <t>RPO / RTO</t>
        </is>
      </c>
      <c r="E8" s="61" t="inlineStr">
        <is>
          <t>RPO &lt; 1h, RTO &lt; 4h</t>
        </is>
      </c>
      <c r="F8" s="61" t="inlineStr">
        <is>
          <t>Annual DR drill. Backup verification.</t>
        </is>
      </c>
      <c r="G8" s="95" t="inlineStr">
        <is>
          <t>High</t>
        </is>
      </c>
      <c r="H8" s="61" t="n"/>
    </row>
    <row r="9" ht="23.85" customHeight="1" s="55">
      <c r="A9" s="69" t="inlineStr">
        <is>
          <t>NFR-006</t>
        </is>
      </c>
      <c r="B9" s="70" t="inlineStr">
        <is>
          <t>Compliance</t>
        </is>
      </c>
      <c r="C9" s="70" t="inlineStr">
        <is>
          <t>Full audit trail for all contract status changes including user, timestamp, old value, new value</t>
        </is>
      </c>
      <c r="D9" s="70" t="inlineStr">
        <is>
          <t>Audit completeness</t>
        </is>
      </c>
      <c r="E9" s="70" t="inlineStr">
        <is>
          <t>100% of state changes logged</t>
        </is>
      </c>
      <c r="F9" s="70" t="inlineStr">
        <is>
          <t>Audit log review. ISAE 3402 assessment.</t>
        </is>
      </c>
      <c r="G9" s="101" t="inlineStr">
        <is>
          <t>Critical</t>
        </is>
      </c>
      <c r="H9" s="69" t="inlineStr">
        <is>
          <t>LCK</t>
        </is>
      </c>
    </row>
  </sheetData>
  <autoFilter ref="A3:H9"/>
  <mergeCells count="1">
    <mergeCell ref="A1:H1"/>
  </mergeCells>
  <conditionalFormatting sqref="G4:G9">
    <cfRule type="cellIs" rank="0" priority="2" equalAverage="0" operator="equal" aboveAverage="0" dxfId="19" text="" percent="0" bottom="0">
      <formula>"Critical"</formula>
    </cfRule>
    <cfRule type="cellIs" rank="0" priority="3" equalAverage="0" operator="equal" aboveAverage="0" dxfId="13" text="" percent="0" bottom="0">
      <formula>"High"</formula>
    </cfRule>
  </conditionalFormatting>
  <dataValidations count="2">
    <dataValidation sqref="B4:B9" showDropDown="0" showInputMessage="0" showErrorMessage="0" allowBlank="1" error="Select a valid option" type="list" errorStyle="stop" operator="between">
      <formula1>"Performance,Availability,Security,Scalability,Disaster Recovery,Usability,Maintainability,Compliance"</formula1>
      <formula2>0</formula2>
    </dataValidation>
    <dataValidation sqref="G4:G9" showDropDown="0" showInputMessage="0" showErrorMessage="0" allowBlank="1" error="Select a valid option" type="list" errorStyle="stop" operator="between">
      <formula1>"Critical,High,Medium,Low"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tabColor rgb="FF334155"/>
    <outlinePr summaryBelow="1" summaryRight="1"/>
    <pageSetUpPr fitToPage="0"/>
  </sheetPr>
  <dimension ref="A1:H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54" min="1" max="1"/>
    <col width="14" customWidth="1" style="54" min="2" max="2"/>
    <col width="50" customWidth="1" style="54" min="3" max="3"/>
    <col width="40" customWidth="1" style="54" min="4" max="4"/>
    <col width="12" customWidth="1" style="54" min="5" max="5"/>
    <col width="18" customWidth="1" style="54" min="6" max="6"/>
    <col width="12" customWidth="1" style="54" min="7" max="7"/>
    <col width="10" customWidth="1" style="54" min="8" max="8"/>
  </cols>
  <sheetData>
    <row r="1" ht="27.75" customHeight="1" s="55">
      <c r="A1" s="91" t="inlineStr">
        <is>
          <t>Assumptions &amp; Dependencies</t>
        </is>
      </c>
      <c r="B1" s="57" t="n"/>
      <c r="C1" s="57" t="n"/>
      <c r="D1" s="57" t="n"/>
      <c r="E1" s="57" t="n"/>
      <c r="F1" s="57" t="n"/>
      <c r="G1" s="57" t="n"/>
      <c r="H1" s="57" t="n"/>
    </row>
    <row r="3" ht="31.5" customHeight="1" s="55">
      <c r="A3" s="104" t="inlineStr">
        <is>
          <t>ID</t>
        </is>
      </c>
      <c r="B3" s="104" t="inlineStr">
        <is>
          <t>Type</t>
        </is>
      </c>
      <c r="C3" s="104" t="inlineStr">
        <is>
          <t>Description</t>
        </is>
      </c>
      <c r="D3" s="104" t="inlineStr">
        <is>
          <t>Impact if Wrong</t>
        </is>
      </c>
      <c r="E3" s="104" t="inlineStr">
        <is>
          <t>Validated</t>
        </is>
      </c>
      <c r="F3" s="104" t="inlineStr">
        <is>
          <t>Owner</t>
        </is>
      </c>
      <c r="G3" s="104" t="inlineStr">
        <is>
          <t>Date</t>
        </is>
      </c>
      <c r="H3" s="104" t="inlineStr">
        <is>
          <t>Linked Risk</t>
        </is>
      </c>
    </row>
    <row r="4" ht="23.85" customHeight="1" s="55">
      <c r="A4" s="68" t="inlineStr">
        <is>
          <t>A-001</t>
        </is>
      </c>
      <c r="B4" s="61" t="inlineStr">
        <is>
          <t>Assumption</t>
        </is>
      </c>
      <c r="C4" s="61" t="inlineStr">
        <is>
          <t>Financial Hub will expose earlyWarning[] for all three entity types (LCK, LEF, BAF)</t>
        </is>
      </c>
      <c r="D4" s="61" t="inlineStr">
        <is>
          <t>If not: cannot validate sanctions status. Manual check required per contract.</t>
        </is>
      </c>
      <c r="E4" s="105" t="inlineStr">
        <is>
          <t>Pending</t>
        </is>
      </c>
      <c r="F4" s="61" t="inlineStr">
        <is>
          <t>Integration Team</t>
        </is>
      </c>
      <c r="G4" s="61" t="inlineStr">
        <is>
          <t>2026-01-20</t>
        </is>
      </c>
      <c r="H4" s="68" t="inlineStr">
        <is>
          <t>RSK-002</t>
        </is>
      </c>
    </row>
    <row r="5" ht="23.85" customHeight="1" s="55">
      <c r="A5" s="69" t="inlineStr">
        <is>
          <t>A-002</t>
        </is>
      </c>
      <c r="B5" s="70" t="inlineStr">
        <is>
          <t>Assumption</t>
        </is>
      </c>
      <c r="C5" s="70" t="inlineStr">
        <is>
          <t>EAS.XXXXXX LCK format will be preserved in SUMMA (not changed during migration)</t>
        </is>
      </c>
      <c r="D5" s="70" t="inlineStr">
        <is>
          <t>If changed: all validation rules (BR053, BR064) must be updated. Existing contracts need key remapping.</t>
        </is>
      </c>
      <c r="E5" s="105" t="inlineStr">
        <is>
          <t>Pending</t>
        </is>
      </c>
      <c r="F5" s="70" t="inlineStr">
        <is>
          <t>SUMMA Team</t>
        </is>
      </c>
      <c r="G5" s="70" t="inlineStr">
        <is>
          <t>2026-01-15</t>
        </is>
      </c>
      <c r="H5" s="70" t="n"/>
    </row>
    <row r="6" ht="23.85" customHeight="1" s="55">
      <c r="A6" s="68" t="inlineStr">
        <is>
          <t>A-003</t>
        </is>
      </c>
      <c r="B6" s="61" t="inlineStr">
        <is>
          <t>Dependency</t>
        </is>
      </c>
      <c r="C6" s="61" t="inlineStr">
        <is>
          <t>DG BUDG must provide Financial Hub sandbox environment by Q2 2026</t>
        </is>
      </c>
      <c r="D6" s="61" t="inlineStr">
        <is>
          <t>If delayed: integration testing blocked. Mock services extend timeline by 4-6 weeks.</t>
        </is>
      </c>
      <c r="E6" s="106" t="inlineStr">
        <is>
          <t>No</t>
        </is>
      </c>
      <c r="F6" s="61" t="inlineStr">
        <is>
          <t>Project Manager</t>
        </is>
      </c>
      <c r="G6" s="61" t="inlineStr">
        <is>
          <t>2026-02-01</t>
        </is>
      </c>
      <c r="H6" s="68" t="inlineStr">
        <is>
          <t>RSK-004</t>
        </is>
      </c>
    </row>
    <row r="7" ht="23.85" customHeight="1" s="55">
      <c r="A7" s="69" t="inlineStr">
        <is>
          <t>A-004</t>
        </is>
      </c>
      <c r="B7" s="70" t="inlineStr">
        <is>
          <t>Dependency</t>
        </is>
      </c>
      <c r="C7" s="70" t="inlineStr">
        <is>
          <t>EU Login / EEAS Connect OAuth 2.0 tokens will work with Financial Hub endpoints</t>
        </is>
      </c>
      <c r="D7" s="70" t="inlineStr">
        <is>
          <t>If not: separate authentication mechanism needed. Security review adds 3-4 weeks.</t>
        </is>
      </c>
      <c r="E7" s="105" t="inlineStr">
        <is>
          <t>Pending</t>
        </is>
      </c>
      <c r="F7" s="70" t="inlineStr">
        <is>
          <t>Security Team</t>
        </is>
      </c>
      <c r="G7" s="70" t="inlineStr">
        <is>
          <t>2026-03-01</t>
        </is>
      </c>
      <c r="H7" s="70" t="n"/>
    </row>
    <row r="8" ht="23.85" customHeight="1" s="55">
      <c r="A8" s="68" t="inlineStr">
        <is>
          <t>A-005</t>
        </is>
      </c>
      <c r="B8" s="61" t="inlineStr">
        <is>
          <t>Constraint</t>
        </is>
      </c>
      <c r="C8" s="61" t="inlineStr">
        <is>
          <t>No changes to IMMOGEST data model allowed — only integration layer additions</t>
        </is>
      </c>
      <c r="D8" s="61" t="inlineStr">
        <is>
          <t>Limits how TBI fields can be stored. May require extension tables.</t>
        </is>
      </c>
      <c r="E8" s="107" t="inlineStr">
        <is>
          <t>Yes</t>
        </is>
      </c>
      <c r="F8" s="61" t="inlineStr">
        <is>
          <t>Architecture Board</t>
        </is>
      </c>
      <c r="G8" s="61" t="inlineStr">
        <is>
          <t>2025-12-15</t>
        </is>
      </c>
      <c r="H8" s="61" t="n"/>
    </row>
    <row r="9" ht="23.85" customHeight="1" s="55">
      <c r="A9" s="69" t="inlineStr">
        <is>
          <t>A-006</t>
        </is>
      </c>
      <c r="B9" s="70" t="inlineStr">
        <is>
          <t>Assumption</t>
        </is>
      </c>
      <c r="C9" s="70" t="inlineStr">
        <is>
          <t>All ~500 active contracts will have valid LCK references in SUMMA at cutover time</t>
        </is>
      </c>
      <c r="D9" s="70" t="inlineStr">
        <is>
          <t>If not: orphaned contracts with no financial data. Manual reconciliation for each.</t>
        </is>
      </c>
      <c r="E9" s="106" t="inlineStr">
        <is>
          <t>No</t>
        </is>
      </c>
      <c r="F9" s="70" t="inlineStr">
        <is>
          <t>SUMMA Team</t>
        </is>
      </c>
      <c r="G9" s="70" t="inlineStr">
        <is>
          <t>2026-02-15</t>
        </is>
      </c>
      <c r="H9" s="69" t="inlineStr">
        <is>
          <t>RSK-005</t>
        </is>
      </c>
    </row>
  </sheetData>
  <autoFilter ref="A3:H9"/>
  <mergeCells count="1">
    <mergeCell ref="A1:H1"/>
  </mergeCells>
  <dataValidations count="2">
    <dataValidation sqref="B4:B9" showDropDown="0" showInputMessage="0" showErrorMessage="0" allowBlank="1" error="Select a valid option" type="list" errorStyle="stop" operator="between">
      <formula1>"Assumption,Dependency,Constraint"</formula1>
      <formula2>0</formula2>
    </dataValidation>
    <dataValidation sqref="E4:E9" showDropDown="0" showInputMessage="0" showErrorMessage="0" allowBlank="1" error="Select a valid option" type="list" errorStyle="stop" operator="between">
      <formula1>"Yes,No,Pending"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tabColor rgb="FF0F172A"/>
    <outlinePr summaryBelow="1" summaryRight="1"/>
    <pageSetUpPr fitToPage="0"/>
  </sheetPr>
  <dimension ref="A1:H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54" min="1" max="1"/>
    <col width="45" customWidth="1" style="54" min="2" max="3"/>
    <col width="35" customWidth="1" style="54" min="4" max="4"/>
    <col width="18" customWidth="1" style="54" min="5" max="5"/>
    <col width="12" customWidth="1" style="54" min="6" max="7"/>
    <col width="14" customWidth="1" style="54" min="8" max="8"/>
  </cols>
  <sheetData>
    <row r="1" ht="27.75" customHeight="1" s="55">
      <c r="A1" s="91" t="inlineStr">
        <is>
          <t>Decision Log</t>
        </is>
      </c>
      <c r="B1" s="57" t="n"/>
      <c r="C1" s="57" t="n"/>
      <c r="D1" s="57" t="n"/>
      <c r="E1" s="57" t="n"/>
      <c r="F1" s="57" t="n"/>
      <c r="G1" s="57" t="n"/>
      <c r="H1" s="57" t="n"/>
    </row>
    <row r="3" ht="31.5" customHeight="1" s="55">
      <c r="A3" s="81" t="inlineStr">
        <is>
          <t>ID</t>
        </is>
      </c>
      <c r="B3" s="81" t="inlineStr">
        <is>
          <t>Decision</t>
        </is>
      </c>
      <c r="C3" s="81" t="inlineStr">
        <is>
          <t>Rationale</t>
        </is>
      </c>
      <c r="D3" s="81" t="inlineStr">
        <is>
          <t>Alternatives Considered</t>
        </is>
      </c>
      <c r="E3" s="81" t="inlineStr">
        <is>
          <t>Decided By</t>
        </is>
      </c>
      <c r="F3" s="81" t="inlineStr">
        <is>
          <t>Date</t>
        </is>
      </c>
      <c r="G3" s="81" t="inlineStr">
        <is>
          <t>Status</t>
        </is>
      </c>
      <c r="H3" s="81" t="inlineStr">
        <is>
          <t>Linked REQ/BR</t>
        </is>
      </c>
    </row>
    <row r="4" ht="35.05" customHeight="1" s="55">
      <c r="A4" s="68" t="inlineStr">
        <is>
          <t>DEC-001</t>
        </is>
      </c>
      <c r="B4" s="61" t="inlineStr">
        <is>
          <t>Use asynchronous API call pattern: LCK first, then LEF + BAF in parallel</t>
        </is>
      </c>
      <c r="C4" s="61" t="inlineStr">
        <is>
          <t>Reduces total response time from ~9s (sequential) to ~5s. LEF and BAF are independent.</t>
        </is>
      </c>
      <c r="D4" s="61" t="inlineStr">
        <is>
          <t>1. Sequential (simpler but slower). 2. Fully parallel (complex, LCK must be first for key extraction).</t>
        </is>
      </c>
      <c r="E4" s="61" t="inlineStr">
        <is>
          <t>Architecture Board</t>
        </is>
      </c>
      <c r="F4" s="61" t="inlineStr">
        <is>
          <t>2026-01-10</t>
        </is>
      </c>
      <c r="G4" s="95" t="inlineStr">
        <is>
          <t>Approved</t>
        </is>
      </c>
      <c r="H4" s="68" t="inlineStr">
        <is>
          <t>REQ-007</t>
        </is>
      </c>
    </row>
    <row r="5" ht="23.85" customHeight="1" s="55">
      <c r="A5" s="69" t="inlineStr">
        <is>
          <t>DEC-002</t>
        </is>
      </c>
      <c r="B5" s="70" t="inlineStr">
        <is>
          <t>Store TBI fields (notice_period, deposits) as IMMOGEST-local data with manual entry</t>
        </is>
      </c>
      <c r="C5" s="70" t="inlineStr">
        <is>
          <t>Financial Hub does not expose these fields. No timeline for SUMMA to add them.</t>
        </is>
      </c>
      <c r="D5" s="70" t="inlineStr">
        <is>
          <t>1. Wait for SUMMA enhancement (blocks project). 2. Drop fields (business rejects).</t>
        </is>
      </c>
      <c r="E5" s="70" t="inlineStr">
        <is>
          <t>Project Sponsor</t>
        </is>
      </c>
      <c r="F5" s="70" t="inlineStr">
        <is>
          <t>2026-01-25</t>
        </is>
      </c>
      <c r="G5" s="101" t="inlineStr">
        <is>
          <t>Approved</t>
        </is>
      </c>
      <c r="H5" s="69" t="inlineStr">
        <is>
          <t>RSK-002</t>
        </is>
      </c>
    </row>
    <row r="6" ht="23.85" customHeight="1" s="55">
      <c r="A6" s="68" t="inlineStr">
        <is>
          <t>DEC-003</t>
        </is>
      </c>
      <c r="B6" s="61" t="inlineStr">
        <is>
          <t>Phased cutover by region (5 waves of ~28 delegations each)</t>
        </is>
      </c>
      <c r="C6" s="61" t="inlineStr">
        <is>
          <t>Big-bang too risky for 140 delegations. Phased allows learning and rollback per wave.</t>
        </is>
      </c>
      <c r="D6" s="61" t="inlineStr">
        <is>
          <t>1. Big-bang (faster but high risk). 2. Individual delegation (too slow, 140 deployments).</t>
        </is>
      </c>
      <c r="E6" s="61" t="inlineStr">
        <is>
          <t>Steering Committee</t>
        </is>
      </c>
      <c r="F6" s="61" t="inlineStr">
        <is>
          <t>2026-02-15</t>
        </is>
      </c>
      <c r="G6" s="95" t="inlineStr">
        <is>
          <t>Proposed</t>
        </is>
      </c>
      <c r="H6" s="68" t="inlineStr">
        <is>
          <t>RSK-003</t>
        </is>
      </c>
    </row>
    <row r="7" ht="35.05" customHeight="1" s="55">
      <c r="A7" s="69" t="inlineStr">
        <is>
          <t>DEC-004</t>
        </is>
      </c>
      <c r="B7" s="70" t="inlineStr">
        <is>
          <t>Mask IBAN showing only last 4 digits in all UI and log outputs</t>
        </is>
      </c>
      <c r="C7" s="70" t="inlineStr">
        <is>
          <t>GDPR data minimisation. Full IBAN only needed for payment processing (backend).</t>
        </is>
      </c>
      <c r="D7" s="70" t="inlineStr">
        <is>
          <t>1. Show full IBAN with role-based access (complex RBAC). 2. No display at all (business rejects).</t>
        </is>
      </c>
      <c r="E7" s="70" t="inlineStr">
        <is>
          <t>DPO + Security Officer</t>
        </is>
      </c>
      <c r="F7" s="70" t="inlineStr">
        <is>
          <t>2026-01-30</t>
        </is>
      </c>
      <c r="G7" s="101" t="inlineStr">
        <is>
          <t>Approved</t>
        </is>
      </c>
      <c r="H7" s="69" t="inlineStr">
        <is>
          <t>REQ-008, BR055</t>
        </is>
      </c>
    </row>
  </sheetData>
  <autoFilter ref="A3:H7"/>
  <mergeCells count="1">
    <mergeCell ref="A1:H1"/>
  </mergeCells>
  <conditionalFormatting sqref="G4:G7">
    <cfRule type="cellIs" rank="0" priority="2" equalAverage="0" operator="equal" aboveAverage="0" dxfId="14" text="" percent="0" bottom="0">
      <formula>"Approved"</formula>
    </cfRule>
    <cfRule type="cellIs" rank="0" priority="3" equalAverage="0" operator="equal" aboveAverage="0" dxfId="13" text="" percent="0" bottom="0">
      <formula>"Proposed"</formula>
    </cfRule>
  </conditionalFormatting>
  <dataValidations count="1">
    <dataValidation sqref="G4:G7" showDropDown="0" showInputMessage="0" showErrorMessage="0" allowBlank="1" error="Select a valid option" type="list" errorStyle="stop" operator="between">
      <formula1>"Proposed,Approved,Implemented,Superseded,Deferred"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tabColor rgb="FF0369A1"/>
    <outlinePr summaryBelow="1" summaryRight="1"/>
    <pageSetUpPr fitToPage="0"/>
  </sheetPr>
  <dimension ref="A1:I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54" min="1" max="1"/>
    <col width="14" customWidth="1" style="54" min="2" max="3"/>
    <col width="16" customWidth="1" style="54" min="4" max="7"/>
    <col width="14" customWidth="1" style="54" min="8" max="8"/>
    <col width="22" customWidth="1" style="54" min="9" max="9"/>
  </cols>
  <sheetData>
    <row r="1" ht="27.75" customHeight="1" s="55">
      <c r="A1" s="91" t="inlineStr">
        <is>
          <t>Data Volume &amp; Sizing Estimates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</row>
    <row r="3" ht="31.5" customHeight="1" s="55">
      <c r="A3" s="76" t="inlineStr">
        <is>
          <t>Entity</t>
        </is>
      </c>
      <c r="B3" s="76" t="inlineStr">
        <is>
          <t>Current Rows</t>
        </is>
      </c>
      <c r="C3" s="76" t="inlineStr">
        <is>
          <t>Annual Growth %</t>
        </is>
      </c>
      <c r="D3" s="76" t="inlineStr">
        <is>
          <t>Projected at Go-Live</t>
        </is>
      </c>
      <c r="E3" s="76" t="inlineStr">
        <is>
          <t>Peak Concurrent Users</t>
        </is>
      </c>
      <c r="F3" s="76" t="inlineStr">
        <is>
          <t>API Calls/Min (Peak)</t>
        </is>
      </c>
      <c r="G3" s="76" t="inlineStr">
        <is>
          <t>Avg Record Size (KB)</t>
        </is>
      </c>
      <c r="H3" s="76" t="inlineStr">
        <is>
          <t>Total Storage (GB)</t>
        </is>
      </c>
      <c r="I3" s="76" t="inlineStr">
        <is>
          <t>SLA Target</t>
        </is>
      </c>
    </row>
    <row r="4" ht="15" customHeight="1" s="55">
      <c r="A4" s="66" t="inlineStr">
        <is>
          <t>Legal Commitments (LCK)</t>
        </is>
      </c>
      <c r="B4" s="95" t="n">
        <v>12000</v>
      </c>
      <c r="C4" s="95" t="n">
        <v>8</v>
      </c>
      <c r="D4" s="100">
        <f>B4*(1+C4/100)</f>
        <v/>
      </c>
      <c r="E4" s="95" t="n">
        <v>200</v>
      </c>
      <c r="F4" s="95" t="n">
        <v>50</v>
      </c>
      <c r="G4" s="95" t="n">
        <v>4.2</v>
      </c>
      <c r="H4" s="100">
        <f>D4*G4/1048576</f>
        <v/>
      </c>
      <c r="I4" s="61" t="inlineStr">
        <is>
          <t>&lt; 3s response time (EP01)</t>
        </is>
      </c>
    </row>
    <row r="5" ht="15" customHeight="1" s="55">
      <c r="A5" s="97" t="inlineStr">
        <is>
          <t>Legal Entities (LEF)</t>
        </is>
      </c>
      <c r="B5" s="101" t="n">
        <v>8500</v>
      </c>
      <c r="C5" s="101" t="n">
        <v>5</v>
      </c>
      <c r="D5" s="102">
        <f>B5*(1+C5/100)</f>
        <v/>
      </c>
      <c r="E5" s="101" t="n">
        <v>200</v>
      </c>
      <c r="F5" s="101" t="n">
        <v>50</v>
      </c>
      <c r="G5" s="101" t="n">
        <v>2.8</v>
      </c>
      <c r="H5" s="102">
        <f>D5*G5/1048576</f>
        <v/>
      </c>
      <c r="I5" s="70" t="inlineStr">
        <is>
          <t>&lt; 2s response time (EP02)</t>
        </is>
      </c>
    </row>
    <row r="6" ht="15" customHeight="1" s="55">
      <c r="A6" s="66" t="inlineStr">
        <is>
          <t>Bank Accounts (BAF)</t>
        </is>
      </c>
      <c r="B6" s="95" t="n">
        <v>9200</v>
      </c>
      <c r="C6" s="95" t="n">
        <v>5</v>
      </c>
      <c r="D6" s="100">
        <f>B6*(1+C6/100)</f>
        <v/>
      </c>
      <c r="E6" s="95" t="n">
        <v>200</v>
      </c>
      <c r="F6" s="95" t="n">
        <v>50</v>
      </c>
      <c r="G6" s="95" t="n">
        <v>1.5</v>
      </c>
      <c r="H6" s="100">
        <f>D6*G6/1048576</f>
        <v/>
      </c>
      <c r="I6" s="61" t="inlineStr">
        <is>
          <t>&lt; 2s response time (EP03)</t>
        </is>
      </c>
    </row>
    <row r="7" ht="15" customHeight="1" s="55">
      <c r="A7" s="97" t="inlineStr">
        <is>
          <t>Contracts (IMMOGEST)</t>
        </is>
      </c>
      <c r="B7" s="101" t="n">
        <v>4800</v>
      </c>
      <c r="C7" s="101" t="n">
        <v>10</v>
      </c>
      <c r="D7" s="102">
        <f>B7*(1+C7/100)</f>
        <v/>
      </c>
      <c r="E7" s="101" t="n">
        <v>500</v>
      </c>
      <c r="F7" s="101" t="n">
        <v>20</v>
      </c>
      <c r="G7" s="101" t="n">
        <v>8.5</v>
      </c>
      <c r="H7" s="102">
        <f>D7*G7/1048576</f>
        <v/>
      </c>
      <c r="I7" s="70" t="inlineStr">
        <is>
          <t>&lt; 1s local operations</t>
        </is>
      </c>
    </row>
    <row r="8" ht="15" customHeight="1" s="55">
      <c r="A8" s="66" t="inlineStr">
        <is>
          <t>Buildings (IMMOGEST)</t>
        </is>
      </c>
      <c r="B8" s="95" t="n">
        <v>3200</v>
      </c>
      <c r="C8" s="95" t="n">
        <v>3</v>
      </c>
      <c r="D8" s="100">
        <f>B8*(1+C8/100)</f>
        <v/>
      </c>
      <c r="E8" s="95" t="n">
        <v>500</v>
      </c>
      <c r="F8" s="95" t="n">
        <v>10</v>
      </c>
      <c r="G8" s="95" t="n">
        <v>6</v>
      </c>
      <c r="H8" s="100">
        <f>D8*G8/1048576</f>
        <v/>
      </c>
      <c r="I8" s="61" t="inlineStr">
        <is>
          <t>&lt; 1s local operations</t>
        </is>
      </c>
    </row>
    <row r="9" ht="15" customHeight="1" s="55">
      <c r="A9" s="97" t="inlineStr">
        <is>
          <t>Documents (ARES)</t>
        </is>
      </c>
      <c r="B9" s="101" t="n">
        <v>25000</v>
      </c>
      <c r="C9" s="101" t="n">
        <v>15</v>
      </c>
      <c r="D9" s="102">
        <f>B9*(1+C9/100)</f>
        <v/>
      </c>
      <c r="E9" s="101" t="n">
        <v>300</v>
      </c>
      <c r="F9" s="101" t="n">
        <v>5</v>
      </c>
      <c r="G9" s="101" t="n">
        <v>250</v>
      </c>
      <c r="H9" s="102">
        <f>D9*G9/1048576</f>
        <v/>
      </c>
      <c r="I9" s="70" t="inlineStr">
        <is>
          <t>&lt; 5s retrieval</t>
        </is>
      </c>
    </row>
    <row r="10" ht="15" customHeight="1" s="55">
      <c r="A10" s="108" t="inlineStr">
        <is>
          <t>TOTAL</t>
        </is>
      </c>
      <c r="B10" s="109">
        <f>SUM(B4:B9)</f>
        <v/>
      </c>
      <c r="C10" s="110" t="n"/>
      <c r="D10" s="109">
        <f>SUM(D4:D9)</f>
        <v/>
      </c>
      <c r="E10" s="110" t="n"/>
      <c r="F10" s="110" t="n"/>
      <c r="G10" s="110" t="n"/>
      <c r="H10" s="109">
        <f>SUM(H4:H9)</f>
        <v/>
      </c>
      <c r="I10" s="110" t="n"/>
    </row>
  </sheetData>
  <autoFilter ref="A3:I9"/>
  <mergeCells count="1">
    <mergeCell ref="A1:I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>
    <tabColor rgb="00BE185D"/>
    <outlinePr summaryBelow="1" summaryRight="1"/>
    <pageSetUpPr/>
  </sheetPr>
  <dimension ref="A1:K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style="55" min="1" max="1"/>
    <col width="30" customWidth="1" style="55" min="2" max="2"/>
    <col width="45" customWidth="1" style="55" min="3" max="3"/>
    <col width="18" customWidth="1" style="55" min="4" max="4"/>
    <col width="12" customWidth="1" style="55" min="5" max="5"/>
    <col width="10" customWidth="1" style="55" min="6" max="6"/>
    <col width="12" customWidth="1" style="55" min="7" max="7"/>
    <col width="16" customWidth="1" style="55" min="8" max="8"/>
    <col width="22" customWidth="1" style="55" min="9" max="9"/>
    <col width="14" customWidth="1" style="55" min="10" max="10"/>
    <col width="18" customWidth="1" style="55" min="11" max="11"/>
  </cols>
  <sheetData>
    <row r="1" ht="28" customHeight="1" s="55">
      <c r="A1" s="111" t="inlineStr">
        <is>
          <t>Change Request Register</t>
        </is>
      </c>
    </row>
    <row r="3" ht="30" customHeight="1" s="55">
      <c r="A3" s="112" t="inlineStr">
        <is>
          <t>CR ID</t>
        </is>
      </c>
      <c r="B3" s="112" t="inlineStr">
        <is>
          <t>Title</t>
        </is>
      </c>
      <c r="C3" s="112" t="inlineStr">
        <is>
          <t>Description</t>
        </is>
      </c>
      <c r="D3" s="112" t="inlineStr">
        <is>
          <t>Requestor</t>
        </is>
      </c>
      <c r="E3" s="112" t="inlineStr">
        <is>
          <t>Date</t>
        </is>
      </c>
      <c r="F3" s="112" t="inlineStr">
        <is>
          <t>Impact</t>
        </is>
      </c>
      <c r="G3" s="112" t="inlineStr">
        <is>
          <t>Effort (days)</t>
        </is>
      </c>
      <c r="H3" s="112" t="inlineStr">
        <is>
          <t>Affected REQs</t>
        </is>
      </c>
      <c r="I3" s="112" t="inlineStr">
        <is>
          <t>Affected Fields</t>
        </is>
      </c>
      <c r="J3" s="112" t="inlineStr">
        <is>
          <t>Status</t>
        </is>
      </c>
      <c r="K3" s="112" t="inlineStr">
        <is>
          <t>Approved By</t>
        </is>
      </c>
    </row>
    <row r="4" ht="28" customHeight="1" s="55">
      <c r="A4" s="113" t="inlineStr">
        <is>
          <t>CR-001</t>
        </is>
      </c>
      <c r="B4" s="114" t="inlineStr">
        <is>
          <t>Add deposit_amount field to LCK entity</t>
        </is>
      </c>
      <c r="C4" s="115" t="inlineStr">
        <is>
          <t>Business requires tracking deposit amounts per contract. Field not in Financial Hub — store locally with manual entry.</t>
        </is>
      </c>
      <c r="D4" s="115" t="inlineStr">
        <is>
          <t>Real Estate Unit</t>
        </is>
      </c>
      <c r="E4" s="116" t="inlineStr">
        <is>
          <t>2026-02-20</t>
        </is>
      </c>
      <c r="F4" s="117" t="inlineStr">
        <is>
          <t>Medium</t>
        </is>
      </c>
      <c r="G4" s="116" t="inlineStr">
        <is>
          <t>3</t>
        </is>
      </c>
      <c r="H4" s="113" t="inlineStr">
        <is>
          <t>REQ-002</t>
        </is>
      </c>
      <c r="I4" s="113" t="inlineStr">
        <is>
          <t>LCK.deposit_amount</t>
        </is>
      </c>
      <c r="J4" s="118" t="inlineStr">
        <is>
          <t>Approved</t>
        </is>
      </c>
      <c r="K4" s="115" t="inlineStr">
        <is>
          <t>Project Sponsor</t>
        </is>
      </c>
    </row>
    <row r="5" ht="28" customHeight="1" s="55">
      <c r="A5" s="119" t="inlineStr">
        <is>
          <t>CR-002</t>
        </is>
      </c>
      <c r="B5" s="120" t="inlineStr">
        <is>
          <t>Extend BAF validation to include BIC code check</t>
        </is>
      </c>
      <c r="C5" s="121" t="inlineStr">
        <is>
          <t>Audit team requires BIC validation alongside IBAN. New business rule BR066.</t>
        </is>
      </c>
      <c r="D5" s="121" t="inlineStr">
        <is>
          <t>Internal Audit</t>
        </is>
      </c>
      <c r="E5" s="122" t="inlineStr">
        <is>
          <t>2026-03-05</t>
        </is>
      </c>
      <c r="F5" s="122" t="inlineStr">
        <is>
          <t>Low</t>
        </is>
      </c>
      <c r="G5" s="122" t="inlineStr">
        <is>
          <t>2</t>
        </is>
      </c>
      <c r="H5" s="119" t="inlineStr">
        <is>
          <t>REQ-005</t>
        </is>
      </c>
      <c r="I5" s="119" t="inlineStr">
        <is>
          <t>BAF.baf_bic</t>
        </is>
      </c>
      <c r="J5" s="117" t="inlineStr">
        <is>
          <t>Assessing</t>
        </is>
      </c>
      <c r="K5" s="121" t="inlineStr"/>
    </row>
    <row r="6" ht="28" customHeight="1" s="55">
      <c r="A6" s="113" t="inlineStr">
        <is>
          <t>CR-003</t>
        </is>
      </c>
      <c r="B6" s="114" t="inlineStr">
        <is>
          <t>Add agency_fees field to contract form</t>
        </is>
      </c>
      <c r="C6" s="115" t="inlineStr">
        <is>
          <t>Agency fees tracked in ABAC but not exposed by Financial Hub. Local field with approval workflow.</t>
        </is>
      </c>
      <c r="D6" s="115" t="inlineStr">
        <is>
          <t>Budget Unit</t>
        </is>
      </c>
      <c r="E6" s="116" t="inlineStr">
        <is>
          <t>2026-03-10</t>
        </is>
      </c>
      <c r="F6" s="117" t="inlineStr">
        <is>
          <t>Medium</t>
        </is>
      </c>
      <c r="G6" s="116" t="inlineStr">
        <is>
          <t>5</t>
        </is>
      </c>
      <c r="H6" s="113" t="inlineStr">
        <is>
          <t>REQ-002</t>
        </is>
      </c>
      <c r="I6" s="113" t="inlineStr">
        <is>
          <t>LCK.agency_fees</t>
        </is>
      </c>
      <c r="J6" s="117" t="inlineStr">
        <is>
          <t>Submitted</t>
        </is>
      </c>
      <c r="K6" s="115" t="inlineStr"/>
    </row>
  </sheetData>
  <autoFilter ref="A3:K6"/>
  <mergeCells count="1">
    <mergeCell ref="A1:K1"/>
  </mergeCells>
  <conditionalFormatting sqref="J4:J16">
    <cfRule type="cellIs" priority="1" operator="equal" dxfId="28">
      <formula>"Approved"</formula>
    </cfRule>
    <cfRule type="cellIs" priority="2" operator="equal" dxfId="29">
      <formula>"Rejected"</formula>
    </cfRule>
    <cfRule type="cellIs" priority="3" operator="equal" dxfId="30">
      <formula>"Submitted"</formula>
    </cfRule>
  </conditionalFormatting>
  <conditionalFormatting sqref="F4:F16">
    <cfRule type="cellIs" priority="4" operator="equal" dxfId="29">
      <formula>"High"</formula>
    </cfRule>
  </conditionalFormatting>
  <dataValidations count="2">
    <dataValidation sqref="F4:F16" showDropDown="0" showInputMessage="0" showErrorMessage="0" allowBlank="1" type="list">
      <formula1>"High,Medium,Low"</formula1>
    </dataValidation>
    <dataValidation sqref="J4:J16" showDropDown="0" showInputMessage="0" showErrorMessage="0" allowBlank="1" type="list">
      <formula1>"Submitted,Assessing,Approved,Rejected,Implemented,Deferred"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2026-03-29T00:01:54Z</dcterms:created>
  <dcterms:modified xmlns:dcterms="http://purl.org/dc/terms/" xmlns:xsi="http://www.w3.org/2001/XMLSchema-instance" xsi:type="dcterms:W3CDTF">2026-03-30T13:30:22Z</dcterms:modified>
  <cp:revision>1</cp:revision>
</cp:coreProperties>
</file>