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ctors" sheetId="2" state="visible" r:id="rId2"/>
    <sheet xmlns:r="http://schemas.openxmlformats.org/officeDocument/2006/relationships" name="Workflows" sheetId="3" state="visible" r:id="rId3"/>
    <sheet xmlns:r="http://schemas.openxmlformats.org/officeDocument/2006/relationships" name="Business Rules" sheetId="4" state="visible" r:id="rId4"/>
    <sheet xmlns:r="http://schemas.openxmlformats.org/officeDocument/2006/relationships" name="Contract Fields" sheetId="5" state="visible" r:id="rId5"/>
    <sheet xmlns:r="http://schemas.openxmlformats.org/officeDocument/2006/relationships" name="Traceability" sheetId="6" state="visible" r:id="rId6"/>
    <sheet xmlns:r="http://schemas.openxmlformats.org/officeDocument/2006/relationships" name="Cross-References" sheetId="7" state="visible" r:id="rId7"/>
    <sheet xmlns:r="http://schemas.openxmlformats.org/officeDocument/2006/relationships" name="RACI Matrix" sheetId="8" state="visible" r:id="rId8"/>
    <sheet xmlns:r="http://schemas.openxmlformats.org/officeDocument/2006/relationships" name="Risk Register" sheetId="9" state="visible" r:id="rId9"/>
    <sheet xmlns:r="http://schemas.openxmlformats.org/officeDocument/2006/relationships" name="NFRs" sheetId="10" state="visible" r:id="rId10"/>
    <sheet xmlns:r="http://schemas.openxmlformats.org/officeDocument/2006/relationships" name="Assumptions" sheetId="11" state="visible" r:id="rId11"/>
    <sheet xmlns:r="http://schemas.openxmlformats.org/officeDocument/2006/relationships" name="Decision Log" sheetId="12" state="visible" r:id="rId12"/>
    <sheet xmlns:r="http://schemas.openxmlformats.org/officeDocument/2006/relationships" name="Data Volumes" sheetId="13" state="visible" r:id="rId13"/>
    <sheet xmlns:r="http://schemas.openxmlformats.org/officeDocument/2006/relationships" name="Change Requests" sheetId="14" state="visible" r:id="rId14"/>
    <sheet xmlns:r="http://schemas.openxmlformats.org/officeDocument/2006/relationships" name="Open Questions" sheetId="15" state="visible" r:id="rId15"/>
    <sheet xmlns:r="http://schemas.openxmlformats.org/officeDocument/2006/relationships" name="Glossary" sheetId="16" state="visible" r:id="rId16"/>
  </sheets>
  <definedNames>
    <definedName name="_xlnm._FilterDatabase" localSheetId="1" hidden="1">'Actors'!$A$1:$F$10</definedName>
    <definedName name="_xlnm._FilterDatabase" localSheetId="2" hidden="1">'Workflows'!$A$1:$I$16</definedName>
    <definedName name="_xlnm._FilterDatabase" localSheetId="3" hidden="1">'Business Rules'!$A$1:$I$10</definedName>
    <definedName name="_xlnm._FilterDatabase" localSheetId="4" hidden="1">'Contract Fields'!$A$2:$K$22</definedName>
    <definedName name="_xlnm._FilterDatabase" localSheetId="5" hidden="1">'Traceability'!$A$1:$G$8</definedName>
    <definedName name="_xlnm._FilterDatabase" localSheetId="6" hidden="1">'Cross-References'!$A$4:$F$29</definedName>
    <definedName name="_xlnm._FilterDatabase" localSheetId="7" hidden="1">'RACI Matrix'!$A$4:$H$13</definedName>
    <definedName name="_xlnm._FilterDatabase" localSheetId="8" hidden="1">'Risk Register'!$A$3:$J$7</definedName>
    <definedName name="_xlnm._FilterDatabase" localSheetId="9" hidden="1">'NFRs'!$A$3:$H$6</definedName>
    <definedName name="_xlnm._FilterDatabase" localSheetId="10" hidden="1">'Assumptions'!$A$3:$H$6</definedName>
    <definedName name="_xlnm._FilterDatabase" localSheetId="11" hidden="1">'Decision Log'!$A$3:$H$5</definedName>
    <definedName name="_xlnm._FilterDatabase" localSheetId="12" hidden="1">'Data Volumes'!$A$3:$I$8</definedName>
    <definedName name="_xlnm._FilterDatabase" localSheetId="13" hidden="1">'Change Requests'!$A$3:$K$5</definedName>
    <definedName name="_xlnm._FilterDatabase" localSheetId="14" hidden="1">'Open Questions'!$A$1:$H$5</definedName>
    <definedName name="_xlnm._FilterDatabase" localSheetId="15" hidden="1">'Glossary'!$A$1:$C$11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color rgb="00334155"/>
      <sz val="10"/>
    </font>
    <font>
      <name val="Georgia"/>
      <b val="1"/>
      <color rgb="00B45309"/>
      <sz val="28"/>
    </font>
    <font>
      <name val="Georgia"/>
      <b val="1"/>
      <color rgb="00B45309"/>
      <sz val="16"/>
    </font>
    <font>
      <name val="Calibri"/>
      <b val="1"/>
      <color rgb="000F172A"/>
      <sz val="10"/>
    </font>
    <font>
      <name val="Georgia"/>
      <b val="1"/>
      <color rgb="000F172A"/>
      <sz val="13"/>
    </font>
    <font>
      <name val="Georgia"/>
      <b val="1"/>
      <color rgb="000F172A"/>
      <sz val="28"/>
    </font>
    <font>
      <name val="Calibri"/>
      <color rgb="0064748B"/>
      <sz val="10"/>
    </font>
    <font>
      <name val="Calibri"/>
      <b val="1"/>
      <color rgb="00FFFFFF"/>
      <sz val="11"/>
    </font>
    <font>
      <name val="Calibri"/>
      <b val="1"/>
      <color rgb="000369A1"/>
      <sz val="10"/>
      <u val="single"/>
    </font>
    <font>
      <name val="Calibri"/>
      <b val="1"/>
      <color rgb="000F172A"/>
      <sz val="11"/>
    </font>
    <font>
      <name val="Calibri"/>
      <b val="1"/>
      <color rgb="00166534"/>
      <sz val="10"/>
    </font>
    <font>
      <name val="Calibri"/>
      <b val="1"/>
      <color rgb="0092400E"/>
      <sz val="10"/>
    </font>
    <font>
      <name val="Calibri"/>
      <b val="1"/>
      <color rgb="00991B1B"/>
      <sz val="10"/>
    </font>
    <font>
      <name val="Calibri"/>
      <color rgb="0064748B"/>
      <sz val="9"/>
    </font>
    <font>
      <name val="Calibri"/>
      <b val="1"/>
      <color rgb="000F766E"/>
      <sz val="10"/>
    </font>
    <font>
      <name val="Calibri"/>
      <b val="1"/>
      <color rgb="006D28D9"/>
      <sz val="10"/>
    </font>
    <font>
      <name val="Calibri"/>
      <b val="1"/>
      <color rgb="000369A1"/>
      <sz val="10"/>
    </font>
    <font>
      <name val="Calibri"/>
      <b val="1"/>
      <color rgb="0092400E"/>
      <sz val="11"/>
    </font>
    <font>
      <name val="Calibri"/>
      <b val="1"/>
      <color rgb="000369A1"/>
      <sz val="11"/>
    </font>
  </fonts>
  <fills count="2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0F766E"/>
      </patternFill>
    </fill>
    <fill>
      <patternFill patternType="solid">
        <fgColor rgb="00F8FAFC"/>
      </patternFill>
    </fill>
    <fill>
      <patternFill patternType="solid">
        <fgColor rgb="00B45309"/>
      </patternFill>
    </fill>
    <fill>
      <patternFill patternType="solid">
        <fgColor rgb="006D28D9"/>
      </patternFill>
    </fill>
    <fill>
      <patternFill patternType="solid">
        <fgColor rgb="000369A1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CCFBF1"/>
      </patternFill>
    </fill>
    <fill>
      <patternFill patternType="solid">
        <fgColor rgb="00EDE9FE"/>
      </patternFill>
    </fill>
    <fill>
      <patternFill patternType="solid">
        <fgColor rgb="00E0F2FE"/>
      </patternFill>
    </fill>
    <fill>
      <patternFill patternType="solid">
        <fgColor rgb="00991B1B"/>
      </patternFill>
    </fill>
    <fill>
      <patternFill patternType="solid">
        <fgColor rgb="007C3AED"/>
      </patternFill>
    </fill>
    <fill>
      <patternFill patternType="solid">
        <fgColor rgb="00334155"/>
      </patternFill>
    </fill>
    <fill>
      <patternFill patternType="solid">
        <fgColor rgb="00BE185D"/>
      </patternFill>
    </fill>
    <fill>
      <patternFill patternType="solid">
        <fgColor rgb="0092400E"/>
      </patternFill>
    </fill>
    <fill>
      <patternFill patternType="solid">
        <fgColor rgb="0064748B"/>
      </patternFill>
    </fill>
  </fills>
  <borders count="8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/>
    <border>
      <left style="thin">
        <color rgb="00D1D5DB"/>
      </left>
      <right style="thin">
        <color rgb="00D1D5DB"/>
      </right>
      <top style="medium">
        <color rgb="000F172A"/>
      </top>
      <bottom style="thin">
        <color rgb="00D1D5DB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5" fillId="0" borderId="6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8" fillId="6" borderId="1" applyAlignment="1" pivotButton="0" quotePrefix="0" xfId="0">
      <alignment horizontal="center" vertical="center" wrapText="1"/>
    </xf>
    <xf numFmtId="0" fontId="9" fillId="0" borderId="7" applyAlignment="1" pivotButton="0" quotePrefix="0" xfId="0">
      <alignment vertical="top" wrapText="1"/>
    </xf>
    <xf numFmtId="0" fontId="1" fillId="0" borderId="7" applyAlignment="1" pivotButton="0" quotePrefix="0" xfId="0">
      <alignment vertical="top" wrapText="1"/>
    </xf>
    <xf numFmtId="0" fontId="9" fillId="5" borderId="7" applyAlignment="1" pivotButton="0" quotePrefix="0" xfId="0">
      <alignment vertical="top" wrapText="1"/>
    </xf>
    <xf numFmtId="0" fontId="1" fillId="5" borderId="7" applyAlignment="1" pivotButton="0" quotePrefix="0" xfId="0">
      <alignment vertical="top" wrapText="1"/>
    </xf>
    <xf numFmtId="0" fontId="8" fillId="7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vertical="top" wrapText="1"/>
    </xf>
    <xf numFmtId="0" fontId="12" fillId="10" borderId="1" applyAlignment="1" pivotButton="0" quotePrefix="0" xfId="0">
      <alignment vertical="top" wrapText="1"/>
    </xf>
    <xf numFmtId="0" fontId="13" fillId="11" borderId="1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left" vertical="center"/>
    </xf>
    <xf numFmtId="0" fontId="14" fillId="3" borderId="6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15" fillId="12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16" fillId="13" borderId="1" applyAlignment="1" pivotButton="0" quotePrefix="0" xfId="0">
      <alignment vertical="top" wrapText="1"/>
    </xf>
    <xf numFmtId="0" fontId="17" fillId="14" borderId="1" applyAlignment="1" pivotButton="0" quotePrefix="0" xfId="0">
      <alignment vertical="top" wrapText="1"/>
    </xf>
    <xf numFmtId="0" fontId="5" fillId="3" borderId="1" applyAlignment="1" pivotButton="0" quotePrefix="0" xfId="0">
      <alignment horizontal="left" vertical="center"/>
    </xf>
    <xf numFmtId="0" fontId="14" fillId="3" borderId="1" applyAlignment="1" pivotButton="0" quotePrefix="0" xfId="0">
      <alignment vertical="top" wrapText="1"/>
    </xf>
    <xf numFmtId="0" fontId="18" fillId="1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8" fillId="18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center" vertical="center" wrapText="1"/>
    </xf>
    <xf numFmtId="0" fontId="8" fillId="2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ont>
        <name val="Calibri"/>
        <b val="1"/>
        <color rgb="0092400E"/>
        <sz val="10"/>
      </font>
      <fill>
        <patternFill patternType="solid">
          <fgColor rgb="00FEF3C7"/>
        </patternFill>
      </fill>
    </dxf>
    <dxf>
      <font>
        <name val="Calibri"/>
        <b val="1"/>
        <color rgb="00166534"/>
        <sz val="10"/>
      </font>
      <fill>
        <patternFill patternType="solid">
          <fgColor rgb="00DCFCE7"/>
        </patternFill>
      </fill>
    </dxf>
    <dxf>
      <font>
        <name val="Calibri"/>
        <b val="1"/>
        <color rgb="000369A1"/>
        <sz val="10"/>
      </font>
      <fill>
        <patternFill patternType="solid">
          <fgColor rgb="00E0F2FE"/>
        </patternFill>
      </fill>
    </dxf>
    <dxf>
      <font>
        <name val="Calibri"/>
        <b val="1"/>
        <color rgb="00991B1B"/>
        <sz val="10"/>
      </font>
      <fill>
        <patternFill patternType="solid">
          <fgColor rgb="00FEE2E2"/>
        </patternFill>
      </fill>
    </dxf>
    <dxf>
      <font>
        <name val="Calibri"/>
        <color rgb="0064748B"/>
        <sz val="9"/>
      </font>
      <fill>
        <patternFill patternType="solid">
          <fgColor rgb="00F1F5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Field Migration Status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2C55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59E0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F4444"/>
              </a:solidFill>
              <a:ln xmlns:a="http://schemas.openxmlformats.org/drawingml/2006/main">
                <a:prstDash val="solid"/>
              </a:ln>
            </spPr>
          </dPt>
          <cat>
            <numRef>
              <f>'Overview'!$A$18:$A$20</f>
            </numRef>
          </cat>
          <val>
            <numRef>
              <f>'Overview'!$B$18:$B$20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16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0" customHeight="1">
      <c r="A1" s="1" t="inlineStr">
        <is>
          <t>BAForge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35" customHeight="1">
      <c r="A2" s="4" t="inlineStr">
        <is>
          <t>IFRS 17 Implementation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4">
      <c r="A4" s="5" t="inlineStr">
        <is>
          <t>Domain</t>
        </is>
      </c>
      <c r="B4" s="6" t="inlineStr">
        <is>
          <t>Insurance</t>
        </is>
      </c>
      <c r="C4" s="2" t="n"/>
      <c r="D4" s="3" t="n"/>
    </row>
    <row r="5">
      <c r="A5" s="5" t="inlineStr">
        <is>
          <t>Description</t>
        </is>
      </c>
      <c r="B5" s="6" t="inlineStr">
        <is>
          <t>Actuarial engine integration with GL posting and Solvency II parallel run.</t>
        </is>
      </c>
      <c r="C5" s="2" t="n"/>
      <c r="D5" s="3" t="n"/>
    </row>
    <row r="6">
      <c r="A6" s="5" t="inlineStr">
        <is>
          <t>Version</t>
        </is>
      </c>
      <c r="B6" s="6" t="inlineStr">
        <is>
          <t>1.0.0</t>
        </is>
      </c>
      <c r="C6" s="2" t="n"/>
      <c r="D6" s="3" t="n"/>
    </row>
    <row r="7">
      <c r="A7" s="5" t="inlineStr">
        <is>
          <t>Author</t>
        </is>
      </c>
      <c r="B7" s="6" t="inlineStr">
        <is>
          <t>SFL Consulting — Stéphane Lefort</t>
        </is>
      </c>
      <c r="C7" s="2" t="n"/>
      <c r="D7" s="3" t="n"/>
    </row>
    <row r="8">
      <c r="A8" s="5" t="inlineStr">
        <is>
          <t>Generated by</t>
        </is>
      </c>
      <c r="B8" s="6" t="inlineStr">
        <is>
          <t>BAForge v3.1</t>
        </is>
      </c>
      <c r="C8" s="2" t="n"/>
      <c r="D8" s="3" t="n"/>
    </row>
    <row r="9">
      <c r="A9" s="5" t="inlineStr"/>
      <c r="B9" s="6" t="inlineStr"/>
      <c r="C9" s="2" t="n"/>
      <c r="D9" s="3" t="n"/>
    </row>
    <row r="11" ht="28" customHeight="1">
      <c r="A11" s="7" t="inlineStr">
        <is>
          <t>PROJECT DASHBOARD</t>
        </is>
      </c>
    </row>
    <row r="12" ht="45" customHeight="1">
      <c r="A12" s="8" t="n">
        <v>8</v>
      </c>
      <c r="B12" s="3" t="n"/>
      <c r="C12" s="8" t="n">
        <v>2</v>
      </c>
      <c r="D12" s="3" t="n"/>
      <c r="E12" s="8" t="n">
        <v>8</v>
      </c>
      <c r="F12" s="3" t="n"/>
      <c r="G12" s="8" t="n">
        <v>1</v>
      </c>
      <c r="H12" s="3" t="n"/>
      <c r="I12" s="8" t="n">
        <v>19</v>
      </c>
      <c r="J12" s="3" t="n"/>
    </row>
    <row r="13">
      <c r="A13" s="9" t="inlineStr">
        <is>
          <t>Actors</t>
        </is>
      </c>
      <c r="B13" s="3" t="n"/>
      <c r="C13" s="9" t="inlineStr">
        <is>
          <t>Workflows</t>
        </is>
      </c>
      <c r="D13" s="3" t="n"/>
      <c r="E13" s="9" t="inlineStr">
        <is>
          <t>Business Rules</t>
        </is>
      </c>
      <c r="F13" s="3" t="n"/>
      <c r="G13" s="9" t="inlineStr">
        <is>
          <t>Entities</t>
        </is>
      </c>
      <c r="H13" s="3" t="n"/>
      <c r="I13" s="9" t="inlineStr">
        <is>
          <t>Total Fields</t>
        </is>
      </c>
      <c r="J13" s="3" t="n"/>
    </row>
    <row r="14" ht="45" customHeight="1">
      <c r="A14" s="8" t="n">
        <v>6</v>
      </c>
      <c r="B14" s="3" t="n"/>
      <c r="C14" s="10" t="n">
        <v>2</v>
      </c>
      <c r="D14" s="3" t="n"/>
      <c r="E14" s="10" t="n">
        <v>2</v>
      </c>
      <c r="F14" s="3" t="n"/>
    </row>
    <row r="15">
      <c r="A15" s="9" t="inlineStr">
        <is>
          <t>Requirements</t>
        </is>
      </c>
      <c r="B15" s="3" t="n"/>
      <c r="C15" s="9" t="inlineStr">
        <is>
          <t>TBI Fields</t>
        </is>
      </c>
      <c r="D15" s="3" t="n"/>
      <c r="E15" s="9" t="inlineStr">
        <is>
          <t>Gap Fields</t>
        </is>
      </c>
      <c r="F15" s="3" t="n"/>
    </row>
    <row r="17">
      <c r="A17" s="7" t="inlineStr">
        <is>
          <t>Migration Status</t>
        </is>
      </c>
    </row>
    <row r="18">
      <c r="A18" s="11" t="inlineStr">
        <is>
          <t>ok</t>
        </is>
      </c>
      <c r="B18" s="6" t="n">
        <v>15</v>
      </c>
    </row>
    <row r="19">
      <c r="A19" s="11" t="inlineStr">
        <is>
          <t>TBI</t>
        </is>
      </c>
      <c r="B19" s="6" t="n">
        <v>2</v>
      </c>
    </row>
    <row r="20">
      <c r="A20" s="11" t="inlineStr">
        <is>
          <t>Gap</t>
        </is>
      </c>
      <c r="B20" s="6" t="n">
        <v>2</v>
      </c>
    </row>
  </sheetData>
  <mergeCells count="25">
    <mergeCell ref="E12:F12"/>
    <mergeCell ref="G12:H12"/>
    <mergeCell ref="A15:B15"/>
    <mergeCell ref="C15:D15"/>
    <mergeCell ref="B8:D8"/>
    <mergeCell ref="C14:D14"/>
    <mergeCell ref="E14:F14"/>
    <mergeCell ref="A2:I2"/>
    <mergeCell ref="B9:D9"/>
    <mergeCell ref="E13:F13"/>
    <mergeCell ref="G13:H13"/>
    <mergeCell ref="B6:D6"/>
    <mergeCell ref="A12:B12"/>
    <mergeCell ref="C12:D12"/>
    <mergeCell ref="I12:J12"/>
    <mergeCell ref="B5:D5"/>
    <mergeCell ref="E15:F15"/>
    <mergeCell ref="B4:D4"/>
    <mergeCell ref="A14:B14"/>
    <mergeCell ref="B7:D7"/>
    <mergeCell ref="A11:I11"/>
    <mergeCell ref="A1:I1"/>
    <mergeCell ref="A13:B13"/>
    <mergeCell ref="C13:D13"/>
    <mergeCell ref="I13:J1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45" customWidth="1" min="4" max="4"/>
    <col width="8" customWidth="1" min="5" max="5"/>
    <col width="30" customWidth="1" min="6" max="6"/>
  </cols>
  <sheetData>
    <row r="1" ht="32" customHeight="1">
      <c r="A1" s="12" t="inlineStr">
        <is>
          <t>ID</t>
        </is>
      </c>
      <c r="B1" s="12" t="inlineStr">
        <is>
          <t>Name</t>
        </is>
      </c>
      <c r="C1" s="12" t="inlineStr">
        <is>
          <t>Type</t>
        </is>
      </c>
      <c r="D1" s="12" t="inlineStr">
        <is>
          <t>Description</t>
        </is>
      </c>
      <c r="E1" s="12" t="inlineStr">
        <is>
          <t>CRUD</t>
        </is>
      </c>
      <c r="F1" s="12" t="inlineStr">
        <is>
          <t>Permissions</t>
        </is>
      </c>
    </row>
    <row r="2" ht="22" customHeight="1">
      <c r="A2" s="13" t="inlineStr">
        <is>
          <t>AC001</t>
        </is>
      </c>
      <c r="B2" s="6" t="inlineStr">
        <is>
          <t>Chief Actuary</t>
        </is>
      </c>
      <c r="C2" s="6" t="inlineStr">
        <is>
          <t>Primary Actor</t>
        </is>
      </c>
      <c r="D2" s="6" t="inlineStr">
        <is>
          <t>Owns IFRS 17 measurement models and assumption setting</t>
        </is>
      </c>
      <c r="E2" s="6" t="inlineStr">
        <is>
          <t>RU</t>
        </is>
      </c>
      <c r="F2" s="6" t="inlineStr">
        <is>
          <t>All contract groups and CSM calculations</t>
        </is>
      </c>
    </row>
    <row r="3" ht="22" customHeight="1">
      <c r="A3" s="14" t="inlineStr">
        <is>
          <t>AC002</t>
        </is>
      </c>
      <c r="B3" s="15" t="inlineStr">
        <is>
          <t>Finance Controller</t>
        </is>
      </c>
      <c r="C3" s="15" t="inlineStr">
        <is>
          <t>Primary Actor</t>
        </is>
      </c>
      <c r="D3" s="15" t="inlineStr">
        <is>
          <t>Manages P&amp;L impact and regulatory reporting (Pillar 3)</t>
        </is>
      </c>
      <c r="E3" s="15" t="inlineStr">
        <is>
          <t>CRUD</t>
        </is>
      </c>
      <c r="F3" s="15" t="inlineStr">
        <is>
          <t>Financial statements and disclosures</t>
        </is>
      </c>
    </row>
    <row r="4" ht="22" customHeight="1">
      <c r="A4" s="13" t="inlineStr">
        <is>
          <t>AC003</t>
        </is>
      </c>
      <c r="B4" s="6" t="inlineStr">
        <is>
          <t>Claims Handler</t>
        </is>
      </c>
      <c r="C4" s="6" t="inlineStr">
        <is>
          <t>Primary Actor</t>
        </is>
      </c>
      <c r="D4" s="6" t="inlineStr">
        <is>
          <t>Processes claims and updates incurred claims reserves</t>
        </is>
      </c>
      <c r="E4" s="6" t="inlineStr">
        <is>
          <t>CRU</t>
        </is>
      </c>
      <c r="F4" s="6" t="inlineStr">
        <is>
          <t>Claims records and reserve adjustments</t>
        </is>
      </c>
    </row>
    <row r="5" ht="22" customHeight="1">
      <c r="A5" s="14" t="inlineStr">
        <is>
          <t>AC004</t>
        </is>
      </c>
      <c r="B5" s="15" t="inlineStr">
        <is>
          <t>Underwriting System</t>
        </is>
      </c>
      <c r="C5" s="15" t="inlineStr">
        <is>
          <t>System Actor</t>
        </is>
      </c>
      <c r="D5" s="15" t="inlineStr">
        <is>
          <t>Policy administration - creates and manages insurance contracts</t>
        </is>
      </c>
      <c r="E5" s="15" t="inlineStr">
        <is>
          <t>CRUD</t>
        </is>
      </c>
      <c r="F5" s="15" t="inlineStr">
        <is>
          <t>Policy lifecycle and premium data</t>
        </is>
      </c>
    </row>
    <row r="6" ht="22" customHeight="1">
      <c r="A6" s="13" t="inlineStr">
        <is>
          <t>AC005</t>
        </is>
      </c>
      <c r="B6" s="6" t="inlineStr">
        <is>
          <t>Actuarial Engine (Prophet/IFRS)</t>
        </is>
      </c>
      <c r="C6" s="6" t="inlineStr">
        <is>
          <t>System Actor</t>
        </is>
      </c>
      <c r="D6" s="6" t="inlineStr">
        <is>
          <t>Calculates BEL cashflows CSM amortisation and risk adjustment</t>
        </is>
      </c>
      <c r="E6" s="6" t="inlineStr">
        <is>
          <t>CRU</t>
        </is>
      </c>
      <c r="F6" s="6" t="inlineStr">
        <is>
          <t>Actuarial models and output datasets</t>
        </is>
      </c>
    </row>
    <row r="7" ht="22" customHeight="1">
      <c r="A7" s="14" t="inlineStr">
        <is>
          <t>AC006</t>
        </is>
      </c>
      <c r="B7" s="15" t="inlineStr">
        <is>
          <t>GL / Subledger</t>
        </is>
      </c>
      <c r="C7" s="15" t="inlineStr">
        <is>
          <t>System Actor</t>
        </is>
      </c>
      <c r="D7" s="15" t="inlineStr">
        <is>
          <t>General Ledger receiving IFRS 17 journal entries</t>
        </is>
      </c>
      <c r="E7" s="15" t="inlineStr">
        <is>
          <t>CU</t>
        </is>
      </c>
      <c r="F7" s="15" t="inlineStr">
        <is>
          <t>Chart of accounts and postings</t>
        </is>
      </c>
    </row>
    <row r="8" ht="22" customHeight="1">
      <c r="A8" s="13" t="inlineStr">
        <is>
          <t>AC007</t>
        </is>
      </c>
      <c r="B8" s="6" t="inlineStr">
        <is>
          <t>Solvency II Engine</t>
        </is>
      </c>
      <c r="C8" s="6" t="inlineStr">
        <is>
          <t>System Actor</t>
        </is>
      </c>
      <c r="D8" s="6" t="inlineStr">
        <is>
          <t>Parallel regulatory capital calculation under Solvency II</t>
        </is>
      </c>
      <c r="E8" s="6" t="inlineStr">
        <is>
          <t>R</t>
        </is>
      </c>
      <c r="F8" s="6" t="inlineStr">
        <is>
          <t>SCR/MCR data feeds</t>
        </is>
      </c>
    </row>
    <row r="9" ht="22" customHeight="1">
      <c r="A9" s="14" t="inlineStr">
        <is>
          <t>AC008</t>
        </is>
      </c>
      <c r="B9" s="15" t="inlineStr">
        <is>
          <t>Quarterly Close Scheduler</t>
        </is>
      </c>
      <c r="C9" s="15" t="inlineStr">
        <is>
          <t>Timer/Scheduler</t>
        </is>
      </c>
      <c r="D9" s="15" t="inlineStr">
        <is>
          <t>Triggers IFRS 17 closing process on last business day of quarter</t>
        </is>
      </c>
      <c r="E9" s="15" t="inlineStr">
        <is>
          <t>U</t>
        </is>
      </c>
      <c r="F9" s="15" t="inlineStr">
        <is>
          <t>Locks periods and triggers calculations</t>
        </is>
      </c>
    </row>
  </sheetData>
  <autoFilter ref="A1:F10"/>
  <dataValidations count="1">
    <dataValidation sqref="C2:C10" showDropDown="0" showInputMessage="0" showErrorMessage="0" allowBlank="1" errorTitle="Invalid value" error="Please select a valid option" type="list">
      <formula1>"Primary Actor,Secondary Actor,System Actor,External System,Timer/Scheduler"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14" customWidth="1" min="4" max="4"/>
    <col width="10" customWidth="1" min="5" max="5"/>
    <col width="14" customWidth="1" min="6" max="6"/>
    <col width="40" customWidth="1" min="7" max="7"/>
    <col width="14" customWidth="1" min="8" max="8"/>
    <col width="24" customWidth="1" min="9" max="9"/>
  </cols>
  <sheetData>
    <row r="1" ht="32" customHeight="1">
      <c r="A1" s="16" t="inlineStr">
        <is>
          <t>WF_ID</t>
        </is>
      </c>
      <c r="B1" s="16" t="inlineStr">
        <is>
          <t>Name</t>
        </is>
      </c>
      <c r="C1" s="16" t="inlineStr">
        <is>
          <t>Trigger</t>
        </is>
      </c>
      <c r="D1" s="16" t="inlineStr">
        <is>
          <t>Owner</t>
        </is>
      </c>
      <c r="E1" s="16" t="inlineStr">
        <is>
          <t>Step_Num</t>
        </is>
      </c>
      <c r="F1" s="16" t="inlineStr">
        <is>
          <t>Step_Type</t>
        </is>
      </c>
      <c r="G1" s="16" t="inlineStr">
        <is>
          <t>Step_Description</t>
        </is>
      </c>
      <c r="H1" s="16" t="inlineStr">
        <is>
          <t>Step_Actor</t>
        </is>
      </c>
      <c r="I1" s="16" t="inlineStr">
        <is>
          <t>Step_Output</t>
        </is>
      </c>
    </row>
    <row r="2" ht="22" customHeight="1">
      <c r="A2" s="17" t="inlineStr">
        <is>
          <t>WF001</t>
        </is>
      </c>
      <c r="B2" s="18" t="inlineStr">
        <is>
          <t>Quarterly IFRS 17 Close</t>
        </is>
      </c>
      <c r="C2" s="18" t="inlineStr">
        <is>
          <t>Quarter-end close scheduler fires</t>
        </is>
      </c>
      <c r="D2" s="18" t="inlineStr">
        <is>
          <t>AC002</t>
        </is>
      </c>
      <c r="E2" s="18" t="inlineStr">
        <is>
          <t>1</t>
        </is>
      </c>
      <c r="F2" s="18" t="inlineStr">
        <is>
          <t>Start</t>
        </is>
      </c>
      <c r="G2" s="18" t="inlineStr">
        <is>
          <t>Lock underwriting period - no new policies backdated</t>
        </is>
      </c>
      <c r="H2" s="17" t="inlineStr">
        <is>
          <t>AC008</t>
        </is>
      </c>
      <c r="I2" s="18" t="inlineStr">
        <is>
          <t>Period locked</t>
        </is>
      </c>
    </row>
    <row r="3" ht="22" customHeight="1">
      <c r="A3" s="14" t="inlineStr">
        <is>
          <t>WF001</t>
        </is>
      </c>
      <c r="B3" s="15" t="inlineStr">
        <is>
          <t>Quarterly IFRS 17 Close</t>
        </is>
      </c>
      <c r="C3" s="15" t="inlineStr">
        <is>
          <t>Quarter-end close scheduler fires</t>
        </is>
      </c>
      <c r="D3" s="15" t="inlineStr">
        <is>
          <t>AC002</t>
        </is>
      </c>
      <c r="E3" s="15" t="inlineStr">
        <is>
          <t>2</t>
        </is>
      </c>
      <c r="F3" s="15" t="inlineStr">
        <is>
          <t>Action</t>
        </is>
      </c>
      <c r="G3" s="15" t="inlineStr">
        <is>
          <t>Extract policy and claims data from underwriting system</t>
        </is>
      </c>
      <c r="H3" s="14" t="inlineStr">
        <is>
          <t>AC004</t>
        </is>
      </c>
      <c r="I3" s="15" t="inlineStr">
        <is>
          <t>Raw data extract</t>
        </is>
      </c>
    </row>
    <row r="4" ht="22" customHeight="1">
      <c r="A4" s="13" t="inlineStr">
        <is>
          <t>WF001</t>
        </is>
      </c>
      <c r="B4" s="6" t="inlineStr">
        <is>
          <t>Quarterly IFRS 17 Close</t>
        </is>
      </c>
      <c r="C4" s="6" t="inlineStr">
        <is>
          <t>Quarter-end close scheduler fires</t>
        </is>
      </c>
      <c r="D4" s="6" t="inlineStr">
        <is>
          <t>AC002</t>
        </is>
      </c>
      <c r="E4" s="6" t="inlineStr">
        <is>
          <t>3</t>
        </is>
      </c>
      <c r="F4" s="6" t="inlineStr">
        <is>
          <t>Subprocess</t>
        </is>
      </c>
      <c r="G4" s="6" t="inlineStr">
        <is>
          <t>Run actuarial engine: BEL cashflows + risk adjustment per BR001</t>
        </is>
      </c>
      <c r="H4" s="13" t="inlineStr">
        <is>
          <t>AC005</t>
        </is>
      </c>
      <c r="I4" s="6" t="inlineStr">
        <is>
          <t>Actuarial output dataset</t>
        </is>
      </c>
    </row>
    <row r="5" ht="22" customHeight="1">
      <c r="A5" s="14" t="inlineStr">
        <is>
          <t>WF001</t>
        </is>
      </c>
      <c r="B5" s="15" t="inlineStr">
        <is>
          <t>Quarterly IFRS 17 Close</t>
        </is>
      </c>
      <c r="C5" s="15" t="inlineStr">
        <is>
          <t>Quarter-end close scheduler fires</t>
        </is>
      </c>
      <c r="D5" s="15" t="inlineStr">
        <is>
          <t>AC002</t>
        </is>
      </c>
      <c r="E5" s="15" t="inlineStr">
        <is>
          <t>4</t>
        </is>
      </c>
      <c r="F5" s="15" t="inlineStr">
        <is>
          <t>Decision</t>
        </is>
      </c>
      <c r="G5" s="15" t="inlineStr">
        <is>
          <t>Are assumption changes required this quarter? (BR003)</t>
        </is>
      </c>
      <c r="H5" s="14" t="inlineStr">
        <is>
          <t>AC001</t>
        </is>
      </c>
      <c r="I5" s="15" t="inlineStr">
        <is>
          <t>Yes: update + rerun / No: proceed</t>
        </is>
      </c>
    </row>
    <row r="6" ht="22" customHeight="1">
      <c r="A6" s="13" t="inlineStr">
        <is>
          <t>WF001</t>
        </is>
      </c>
      <c r="B6" s="6" t="inlineStr">
        <is>
          <t>Quarterly IFRS 17 Close</t>
        </is>
      </c>
      <c r="C6" s="6" t="inlineStr">
        <is>
          <t>Quarter-end close scheduler fires</t>
        </is>
      </c>
      <c r="D6" s="6" t="inlineStr">
        <is>
          <t>AC002</t>
        </is>
      </c>
      <c r="E6" s="6" t="inlineStr">
        <is>
          <t>5</t>
        </is>
      </c>
      <c r="F6" s="6" t="inlineStr">
        <is>
          <t>Action</t>
        </is>
      </c>
      <c r="G6" s="6" t="inlineStr">
        <is>
          <t>Calculate CSM amortisation based on coverage units per BR002</t>
        </is>
      </c>
      <c r="H6" s="13" t="inlineStr">
        <is>
          <t>AC005</t>
        </is>
      </c>
      <c r="I6" s="6" t="inlineStr">
        <is>
          <t>CSM movement schedule</t>
        </is>
      </c>
    </row>
    <row r="7" ht="22" customHeight="1">
      <c r="A7" s="14" t="inlineStr">
        <is>
          <t>WF001</t>
        </is>
      </c>
      <c r="B7" s="15" t="inlineStr">
        <is>
          <t>Quarterly IFRS 17 Close</t>
        </is>
      </c>
      <c r="C7" s="15" t="inlineStr">
        <is>
          <t>Quarter-end close scheduler fires</t>
        </is>
      </c>
      <c r="D7" s="15" t="inlineStr">
        <is>
          <t>AC002</t>
        </is>
      </c>
      <c r="E7" s="15" t="inlineStr">
        <is>
          <t>6</t>
        </is>
      </c>
      <c r="F7" s="15" t="inlineStr">
        <is>
          <t>Action</t>
        </is>
      </c>
      <c r="G7" s="15" t="inlineStr">
        <is>
          <t>Generate IFRS 17 journal entries for GL posting</t>
        </is>
      </c>
      <c r="H7" s="14" t="inlineStr">
        <is>
          <t>AC005</t>
        </is>
      </c>
      <c r="I7" s="15" t="inlineStr">
        <is>
          <t>Journal entries file</t>
        </is>
      </c>
    </row>
    <row r="8" ht="22" customHeight="1">
      <c r="A8" s="13" t="inlineStr">
        <is>
          <t>WF001</t>
        </is>
      </c>
      <c r="B8" s="6" t="inlineStr">
        <is>
          <t>Quarterly IFRS 17 Close</t>
        </is>
      </c>
      <c r="C8" s="6" t="inlineStr">
        <is>
          <t>Quarter-end close scheduler fires</t>
        </is>
      </c>
      <c r="D8" s="6" t="inlineStr">
        <is>
          <t>AC002</t>
        </is>
      </c>
      <c r="E8" s="6" t="inlineStr">
        <is>
          <t>7</t>
        </is>
      </c>
      <c r="F8" s="6" t="inlineStr">
        <is>
          <t>Subprocess</t>
        </is>
      </c>
      <c r="G8" s="6" t="inlineStr">
        <is>
          <t>Post journals to subledger and reconcile with GL</t>
        </is>
      </c>
      <c r="H8" s="13" t="inlineStr">
        <is>
          <t>AC006</t>
        </is>
      </c>
      <c r="I8" s="6" t="inlineStr">
        <is>
          <t>GL balanced</t>
        </is>
      </c>
    </row>
    <row r="9" ht="22" customHeight="1">
      <c r="A9" s="14" t="inlineStr">
        <is>
          <t>WF001</t>
        </is>
      </c>
      <c r="B9" s="15" t="inlineStr">
        <is>
          <t>Quarterly IFRS 17 Close</t>
        </is>
      </c>
      <c r="C9" s="15" t="inlineStr">
        <is>
          <t>Quarter-end close scheduler fires</t>
        </is>
      </c>
      <c r="D9" s="15" t="inlineStr">
        <is>
          <t>AC002</t>
        </is>
      </c>
      <c r="E9" s="15" t="inlineStr">
        <is>
          <t>8</t>
        </is>
      </c>
      <c r="F9" s="15" t="inlineStr">
        <is>
          <t>Action</t>
        </is>
      </c>
      <c r="G9" s="15" t="inlineStr">
        <is>
          <t>Produce IFRS 17 disclosures and Pillar 3 reports</t>
        </is>
      </c>
      <c r="H9" s="14" t="inlineStr">
        <is>
          <t>AC002</t>
        </is>
      </c>
      <c r="I9" s="15" t="inlineStr">
        <is>
          <t>Disclosure pack</t>
        </is>
      </c>
    </row>
    <row r="10" ht="22" customHeight="1">
      <c r="A10" s="13" t="inlineStr">
        <is>
          <t>WF001</t>
        </is>
      </c>
      <c r="B10" s="6" t="inlineStr">
        <is>
          <t>Quarterly IFRS 17 Close</t>
        </is>
      </c>
      <c r="C10" s="6" t="inlineStr">
        <is>
          <t>Quarter-end close scheduler fires</t>
        </is>
      </c>
      <c r="D10" s="6" t="inlineStr">
        <is>
          <t>AC002</t>
        </is>
      </c>
      <c r="E10" s="6" t="inlineStr">
        <is>
          <t>9</t>
        </is>
      </c>
      <c r="F10" s="6" t="inlineStr">
        <is>
          <t>End</t>
        </is>
      </c>
      <c r="G10" s="6" t="inlineStr">
        <is>
          <t>Close approved by Finance Controller</t>
        </is>
      </c>
      <c r="H10" s="13" t="inlineStr">
        <is>
          <t>AC002</t>
        </is>
      </c>
      <c r="I10" s="6" t="inlineStr">
        <is>
          <t>Quarter signed off</t>
        </is>
      </c>
    </row>
    <row r="11" ht="22" customHeight="1">
      <c r="A11" s="19" t="inlineStr">
        <is>
          <t>WF002</t>
        </is>
      </c>
      <c r="B11" s="20" t="inlineStr">
        <is>
          <t>Onerous Contract Assessment</t>
        </is>
      </c>
      <c r="C11" s="20" t="inlineStr">
        <is>
          <t>New contract group recognised or adverse claims development</t>
        </is>
      </c>
      <c r="D11" s="20" t="inlineStr">
        <is>
          <t>AC001</t>
        </is>
      </c>
      <c r="E11" s="20" t="inlineStr">
        <is>
          <t>1</t>
        </is>
      </c>
      <c r="F11" s="20" t="inlineStr">
        <is>
          <t>Start</t>
        </is>
      </c>
      <c r="G11" s="20" t="inlineStr">
        <is>
          <t>Identify contract groups requiring profitability test</t>
        </is>
      </c>
      <c r="H11" s="19" t="inlineStr">
        <is>
          <t>AC005</t>
        </is>
      </c>
      <c r="I11" s="20" t="inlineStr">
        <is>
          <t>Groups flagged</t>
        </is>
      </c>
    </row>
    <row r="12" ht="22" customHeight="1">
      <c r="A12" s="13" t="inlineStr">
        <is>
          <t>WF002</t>
        </is>
      </c>
      <c r="B12" s="6" t="inlineStr">
        <is>
          <t>Onerous Contract Assessment</t>
        </is>
      </c>
      <c r="C12" s="6" t="inlineStr">
        <is>
          <t>New contract group recognised or adverse claims development</t>
        </is>
      </c>
      <c r="D12" s="6" t="inlineStr">
        <is>
          <t>AC001</t>
        </is>
      </c>
      <c r="E12" s="6" t="inlineStr">
        <is>
          <t>2</t>
        </is>
      </c>
      <c r="F12" s="6" t="inlineStr">
        <is>
          <t>Action</t>
        </is>
      </c>
      <c r="G12" s="6" t="inlineStr">
        <is>
          <t>Calculate fulfilment cashflows for flagged groups per BR004</t>
        </is>
      </c>
      <c r="H12" s="13" t="inlineStr">
        <is>
          <t>AC005</t>
        </is>
      </c>
      <c r="I12" s="6" t="inlineStr">
        <is>
          <t>FCF output</t>
        </is>
      </c>
    </row>
    <row r="13" ht="22" customHeight="1">
      <c r="A13" s="14" t="inlineStr">
        <is>
          <t>WF002</t>
        </is>
      </c>
      <c r="B13" s="15" t="inlineStr">
        <is>
          <t>Onerous Contract Assessment</t>
        </is>
      </c>
      <c r="C13" s="15" t="inlineStr">
        <is>
          <t>New contract group recognised or adverse claims development</t>
        </is>
      </c>
      <c r="D13" s="15" t="inlineStr">
        <is>
          <t>AC001</t>
        </is>
      </c>
      <c r="E13" s="15" t="inlineStr">
        <is>
          <t>3</t>
        </is>
      </c>
      <c r="F13" s="15" t="inlineStr">
        <is>
          <t>Decision</t>
        </is>
      </c>
      <c r="G13" s="15" t="inlineStr">
        <is>
          <t>Is group onerous (FCF &gt; premiums)? (BR004)</t>
        </is>
      </c>
      <c r="H13" s="14" t="inlineStr">
        <is>
          <t>AC001</t>
        </is>
      </c>
      <c r="I13" s="15" t="inlineStr">
        <is>
          <t>Yes: loss component / No: standard CSM</t>
        </is>
      </c>
    </row>
    <row r="14" ht="22" customHeight="1">
      <c r="A14" s="13" t="inlineStr">
        <is>
          <t>WF002</t>
        </is>
      </c>
      <c r="B14" s="6" t="inlineStr">
        <is>
          <t>Onerous Contract Assessment</t>
        </is>
      </c>
      <c r="C14" s="6" t="inlineStr">
        <is>
          <t>New contract group recognised or adverse claims development</t>
        </is>
      </c>
      <c r="D14" s="6" t="inlineStr">
        <is>
          <t>AC001</t>
        </is>
      </c>
      <c r="E14" s="6" t="inlineStr">
        <is>
          <t>4</t>
        </is>
      </c>
      <c r="F14" s="6" t="inlineStr">
        <is>
          <t>Action</t>
        </is>
      </c>
      <c r="G14" s="6" t="inlineStr">
        <is>
          <t>If onerous: recognise loss component immediately in P&amp;L per BR005</t>
        </is>
      </c>
      <c r="H14" s="13" t="inlineStr">
        <is>
          <t>AC005</t>
        </is>
      </c>
      <c r="I14" s="6" t="inlineStr">
        <is>
          <t>Loss component booked</t>
        </is>
      </c>
    </row>
    <row r="15" ht="22" customHeight="1">
      <c r="A15" s="14" t="inlineStr">
        <is>
          <t>WF002</t>
        </is>
      </c>
      <c r="B15" s="15" t="inlineStr">
        <is>
          <t>Onerous Contract Assessment</t>
        </is>
      </c>
      <c r="C15" s="15" t="inlineStr">
        <is>
          <t>New contract group recognised or adverse claims development</t>
        </is>
      </c>
      <c r="D15" s="15" t="inlineStr">
        <is>
          <t>AC001</t>
        </is>
      </c>
      <c r="E15" s="15" t="inlineStr">
        <is>
          <t>5</t>
        </is>
      </c>
      <c r="F15" s="15" t="inlineStr">
        <is>
          <t>End</t>
        </is>
      </c>
      <c r="G15" s="15" t="inlineStr">
        <is>
          <t>Assessment documented with actuarial sign-off</t>
        </is>
      </c>
      <c r="H15" s="14" t="inlineStr">
        <is>
          <t>AC001</t>
        </is>
      </c>
      <c r="I15" s="15" t="inlineStr">
        <is>
          <t>Audit trail complete</t>
        </is>
      </c>
    </row>
  </sheetData>
  <autoFilter ref="A1:I16"/>
  <conditionalFormatting sqref="F2:F16">
    <cfRule type="cellIs" priority="1" operator="equal" dxfId="0">
      <formula>"Decision"</formula>
    </cfRule>
    <cfRule type="cellIs" priority="2" operator="equal" dxfId="1">
      <formula>"Start"</formula>
    </cfRule>
    <cfRule type="cellIs" priority="3" operator="equal" dxfId="2">
      <formula>"End"</formula>
    </cfRule>
  </conditionalFormatting>
  <dataValidations count="1">
    <dataValidation sqref="F2:F16" showDropDown="0" showInputMessage="0" showErrorMessage="0" allowBlank="1" errorTitle="Invalid value" error="Please select a valid option" type="list">
      <formula1>"Action,Decision,Subprocess,Start,End,Parallel Gateway,Error/Exception"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D28D9"/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0" customWidth="1" min="4" max="4"/>
    <col width="40" customWidth="1" min="5" max="5"/>
    <col width="40" customWidth="1" min="6" max="6"/>
    <col width="35" customWidth="1" min="7" max="7"/>
    <col width="16" customWidth="1" min="8" max="8"/>
    <col width="10" customWidth="1" min="9" max="9"/>
  </cols>
  <sheetData>
    <row r="1" ht="32" customHeight="1">
      <c r="A1" s="21" t="inlineStr">
        <is>
          <t>ID</t>
        </is>
      </c>
      <c r="B1" s="21" t="inlineStr">
        <is>
          <t>Name</t>
        </is>
      </c>
      <c r="C1" s="21" t="inlineStr">
        <is>
          <t>Category</t>
        </is>
      </c>
      <c r="D1" s="21" t="inlineStr">
        <is>
          <t>Priority</t>
        </is>
      </c>
      <c r="E1" s="21" t="inlineStr">
        <is>
          <t>Condition</t>
        </is>
      </c>
      <c r="F1" s="21" t="inlineStr">
        <is>
          <t>Action</t>
        </is>
      </c>
      <c r="G1" s="21" t="inlineStr">
        <is>
          <t>Exception</t>
        </is>
      </c>
      <c r="H1" s="21" t="inlineStr">
        <is>
          <t>Source</t>
        </is>
      </c>
      <c r="I1" s="21" t="inlineStr">
        <is>
          <t>RelatedReq</t>
        </is>
      </c>
    </row>
    <row r="2" ht="22" customHeight="1">
      <c r="A2" s="13" t="inlineStr">
        <is>
          <t>BR001</t>
        </is>
      </c>
      <c r="B2" s="6" t="inlineStr">
        <is>
          <t>Best Estimate Liability Calculation</t>
        </is>
      </c>
      <c r="C2" s="6" t="inlineStr">
        <is>
          <t>Calculation</t>
        </is>
      </c>
      <c r="D2" s="6" t="inlineStr">
        <is>
          <t>Critical</t>
        </is>
      </c>
      <c r="E2" s="6" t="inlineStr">
        <is>
          <t>Quarter-end valuation triggered</t>
        </is>
      </c>
      <c r="F2" s="6" t="inlineStr">
        <is>
          <t>Calculate BEL as probability-weighted present value of all future cashflows using current discount rates</t>
        </is>
      </c>
      <c r="G2" s="6" t="inlineStr">
        <is>
          <t>If data incomplete: use prior quarter BEL with documented adjustment and flag for next quarter</t>
        </is>
      </c>
      <c r="H2" s="6" t="inlineStr">
        <is>
          <t>IFRS 17.33</t>
        </is>
      </c>
      <c r="I2" s="13" t="inlineStr">
        <is>
          <t>REQ-001</t>
        </is>
      </c>
    </row>
    <row r="3" ht="22" customHeight="1">
      <c r="A3" s="14" t="inlineStr">
        <is>
          <t>BR002</t>
        </is>
      </c>
      <c r="B3" s="15" t="inlineStr">
        <is>
          <t>CSM Amortisation Pattern</t>
        </is>
      </c>
      <c r="C3" s="15" t="inlineStr">
        <is>
          <t>Calculation</t>
        </is>
      </c>
      <c r="D3" s="15" t="inlineStr">
        <is>
          <t>Critical</t>
        </is>
      </c>
      <c r="E3" s="15" t="inlineStr">
        <is>
          <t>Coverage period service recognised</t>
        </is>
      </c>
      <c r="F3" s="15" t="inlineStr">
        <is>
          <t>Amortise CSM based on coverage units reflecting quantity of service provided in each period</t>
        </is>
      </c>
      <c r="G3" s="15" t="inlineStr">
        <is>
          <t>If coverage units cannot be determined: use passage of time as proxy and document rationale</t>
        </is>
      </c>
      <c r="H3" s="15" t="inlineStr">
        <is>
          <t>IFRS 17.44</t>
        </is>
      </c>
      <c r="I3" s="14" t="inlineStr">
        <is>
          <t>REQ-002</t>
        </is>
      </c>
    </row>
    <row r="4" ht="22" customHeight="1">
      <c r="A4" s="13" t="inlineStr">
        <is>
          <t>BR003</t>
        </is>
      </c>
      <c r="B4" s="6" t="inlineStr">
        <is>
          <t>Assumption Update Protocol</t>
        </is>
      </c>
      <c r="C4" s="6" t="inlineStr">
        <is>
          <t>Workflow</t>
        </is>
      </c>
      <c r="D4" s="6" t="inlineStr">
        <is>
          <t>High</t>
        </is>
      </c>
      <c r="E4" s="6" t="inlineStr">
        <is>
          <t>Quarterly or upon significant event</t>
        </is>
      </c>
      <c r="F4" s="6" t="inlineStr">
        <is>
          <t>Update actuarial assumptions (mortality/morbidity/lapse/expense) using latest experience data</t>
        </is>
      </c>
      <c r="G4" s="6" t="inlineStr">
        <is>
          <t>If credible experience data unavailable: use industry benchmarks with documented margin</t>
        </is>
      </c>
      <c r="H4" s="6" t="inlineStr">
        <is>
          <t>IFRS 17.36</t>
        </is>
      </c>
      <c r="I4" s="13" t="inlineStr">
        <is>
          <t>REQ-003</t>
        </is>
      </c>
    </row>
    <row r="5" ht="22" customHeight="1">
      <c r="A5" s="14" t="inlineStr">
        <is>
          <t>BR004</t>
        </is>
      </c>
      <c r="B5" s="15" t="inlineStr">
        <is>
          <t>Onerous Contract Test</t>
        </is>
      </c>
      <c r="C5" s="15" t="inlineStr">
        <is>
          <t>Compliance</t>
        </is>
      </c>
      <c r="D5" s="15" t="inlineStr">
        <is>
          <t>Critical</t>
        </is>
      </c>
      <c r="E5" s="15" t="inlineStr">
        <is>
          <t>Initial recognition or adverse development</t>
        </is>
      </c>
      <c r="F5" s="15" t="inlineStr">
        <is>
          <t>Compare fulfilment cashflows with premium. If FCF &gt; premiums the group is onerous</t>
        </is>
      </c>
      <c r="G5" s="15" t="inlineStr">
        <is>
          <t>No exception - all groups must be tested. Document methodology for auditor</t>
        </is>
      </c>
      <c r="H5" s="15" t="inlineStr">
        <is>
          <t>IFRS 17.47</t>
        </is>
      </c>
      <c r="I5" s="14" t="inlineStr">
        <is>
          <t>REQ-004</t>
        </is>
      </c>
    </row>
    <row r="6" ht="22" customHeight="1">
      <c r="A6" s="13" t="inlineStr">
        <is>
          <t>BR005</t>
        </is>
      </c>
      <c r="B6" s="6" t="inlineStr">
        <is>
          <t>Loss Component Recognition</t>
        </is>
      </c>
      <c r="C6" s="6" t="inlineStr">
        <is>
          <t>Compliance</t>
        </is>
      </c>
      <c r="D6" s="6" t="inlineStr">
        <is>
          <t>Critical</t>
        </is>
      </c>
      <c r="E6" s="6" t="inlineStr">
        <is>
          <t>Contract group determined to be onerous per BR004</t>
        </is>
      </c>
      <c r="F6" s="6" t="inlineStr">
        <is>
          <t>Recognise loss immediately in P&amp;L. Allocate subsequent changes between loss component and liability</t>
        </is>
      </c>
      <c r="G6" s="6" t="inlineStr">
        <is>
          <t>If group becomes profitable again: reverse loss component through P&amp;L (not through CSM)</t>
        </is>
      </c>
      <c r="H6" s="6" t="inlineStr">
        <is>
          <t>IFRS 17.48-52</t>
        </is>
      </c>
      <c r="I6" s="13" t="inlineStr">
        <is>
          <t>REQ-004</t>
        </is>
      </c>
    </row>
    <row r="7" ht="22" customHeight="1">
      <c r="A7" s="14" t="inlineStr">
        <is>
          <t>BR006</t>
        </is>
      </c>
      <c r="B7" s="15" t="inlineStr">
        <is>
          <t>Discount Rate Selection</t>
        </is>
      </c>
      <c r="C7" s="15" t="inlineStr">
        <is>
          <t>Calculation</t>
        </is>
      </c>
      <c r="D7" s="15" t="inlineStr">
        <is>
          <t>High</t>
        </is>
      </c>
      <c r="E7" s="15" t="inlineStr">
        <is>
          <t>Cashflow projection required</t>
        </is>
      </c>
      <c r="F7" s="15" t="inlineStr">
        <is>
          <t>Use bottom-up or top-down approach. Rate must reflect characteristics of cashflows including currency and liquidity</t>
        </is>
      </c>
      <c r="G7" s="15" t="inlineStr">
        <is>
          <t>Bottom-up and top-down must produce equivalent results. Document approach and justify selection</t>
        </is>
      </c>
      <c r="H7" s="15" t="inlineStr">
        <is>
          <t>IFRS 17.36</t>
        </is>
      </c>
      <c r="I7" s="14" t="inlineStr">
        <is>
          <t>REQ-005</t>
        </is>
      </c>
    </row>
    <row r="8" ht="22" customHeight="1">
      <c r="A8" s="13" t="inlineStr">
        <is>
          <t>BR007</t>
        </is>
      </c>
      <c r="B8" s="6" t="inlineStr">
        <is>
          <t>Contract Boundary Determination</t>
        </is>
      </c>
      <c r="C8" s="6" t="inlineStr">
        <is>
          <t>Validation</t>
        </is>
      </c>
      <c r="D8" s="6" t="inlineStr">
        <is>
          <t>High</t>
        </is>
      </c>
      <c r="E8" s="6" t="inlineStr">
        <is>
          <t>New policy issued or renewed</t>
        </is>
      </c>
      <c r="F8" s="6" t="inlineStr">
        <is>
          <t>Contract boundary ends when insurer can reprice or terminate. Premiums beyond boundary excluded from measurement</t>
        </is>
      </c>
      <c r="G8" s="6" t="inlineStr">
        <is>
          <t>For group policies: assess at individual policyholder level unless impractical</t>
        </is>
      </c>
      <c r="H8" s="6" t="inlineStr">
        <is>
          <t>IFRS 17.34</t>
        </is>
      </c>
      <c r="I8" s="13" t="inlineStr">
        <is>
          <t>REQ-006</t>
        </is>
      </c>
    </row>
    <row r="9" ht="22" customHeight="1">
      <c r="A9" s="14" t="inlineStr">
        <is>
          <t>BR008</t>
        </is>
      </c>
      <c r="B9" s="15" t="inlineStr">
        <is>
          <t>Risk Adjustment Calculation</t>
        </is>
      </c>
      <c r="C9" s="15" t="inlineStr">
        <is>
          <t>Calculation</t>
        </is>
      </c>
      <c r="D9" s="15" t="inlineStr">
        <is>
          <t>Critical</t>
        </is>
      </c>
      <c r="E9" s="15" t="inlineStr">
        <is>
          <t>Quarter-end valuation</t>
        </is>
      </c>
      <c r="F9" s="15" t="inlineStr">
        <is>
          <t>Calculate RA for non-financial risk using confidence level approach. Target 75th-85th percentile</t>
        </is>
      </c>
      <c r="G9" s="15" t="inlineStr">
        <is>
          <t>If confidence level approach not suitable: use cost-of-capital method at 6% rate</t>
        </is>
      </c>
      <c r="H9" s="15" t="inlineStr">
        <is>
          <t>IFRS 17.37</t>
        </is>
      </c>
      <c r="I9" s="14" t="inlineStr">
        <is>
          <t>REQ-001</t>
        </is>
      </c>
    </row>
  </sheetData>
  <autoFilter ref="A1:I10"/>
  <conditionalFormatting sqref="D2:D10">
    <cfRule type="cellIs" priority="1" operator="equal" dxfId="3">
      <formula>"Critical"</formula>
    </cfRule>
    <cfRule type="cellIs" priority="2" operator="equal" dxfId="0">
      <formula>"High"</formula>
    </cfRule>
  </conditionalFormatting>
  <dataValidations count="2">
    <dataValidation sqref="C2:C10" showDropDown="0" showInputMessage="0" showErrorMessage="0" allowBlank="1" errorTitle="Invalid value" error="Please select a valid option" type="list">
      <formula1>"Validation,Calculation,Authorization,Workflow,Data Quality,Compliance,Integration,Notification"</formula1>
    </dataValidation>
    <dataValidation sqref="D2:D10" showDropDown="0" showInputMessage="0" showErrorMessage="0" allowBlank="1" errorTitle="Invalid value" error="Please select a valid option" type="list">
      <formula1>"Critical,High,Medium,Low"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369A1"/>
    <outlinePr summaryBelow="1" summaryRight="1"/>
    <pageSetUpPr/>
  </sheetPr>
  <dimension ref="A1:K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8" customWidth="1" min="3" max="3"/>
    <col width="18" customWidth="1" min="4" max="4"/>
    <col width="10" customWidth="1" min="5" max="5"/>
    <col width="10" customWidth="1" min="6" max="6"/>
    <col width="10" customWidth="1" min="7" max="7"/>
    <col width="8" customWidth="1" min="8" max="8"/>
    <col width="16" customWidth="1" min="9" max="9"/>
    <col width="12" customWidth="1" min="10" max="10"/>
    <col width="30" customWidth="1" min="11" max="11"/>
  </cols>
  <sheetData>
    <row r="1" ht="26" customHeight="1">
      <c r="A1" s="22" t="inlineStr">
        <is>
          <t>Insurance Contract Group: 19 fields | 15 ok | 2 TBI | 2 Gap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32" customHeight="1">
      <c r="A2" s="23" t="inlineStr">
        <is>
          <t>Field_Name</t>
        </is>
      </c>
      <c r="B2" s="23" t="inlineStr">
        <is>
          <t>Label</t>
        </is>
      </c>
      <c r="C2" s="23" t="inlineStr">
        <is>
          <t>Source_Path</t>
        </is>
      </c>
      <c r="D2" s="23" t="inlineStr">
        <is>
          <t>Target_Field</t>
        </is>
      </c>
      <c r="E2" s="23" t="inlineStr">
        <is>
          <t>Data_Type</t>
        </is>
      </c>
      <c r="F2" s="23" t="inlineStr">
        <is>
          <t>Edit_Mode</t>
        </is>
      </c>
      <c r="G2" s="23" t="inlineStr">
        <is>
          <t>Mandatory</t>
        </is>
      </c>
      <c r="H2" s="23" t="inlineStr">
        <is>
          <t>BR_Ref</t>
        </is>
      </c>
      <c r="I2" s="23" t="inlineStr">
        <is>
          <t>Sample_Value</t>
        </is>
      </c>
      <c r="J2" s="23" t="inlineStr">
        <is>
          <t>Migration_Status</t>
        </is>
      </c>
      <c r="K2" s="23" t="inlineStr">
        <is>
          <t>Compliance_Note</t>
        </is>
      </c>
    </row>
    <row r="3" ht="22" customHeight="1">
      <c r="A3" s="6" t="inlineStr">
        <is>
          <t>contract_group_id</t>
        </is>
      </c>
      <c r="B3" s="6" t="inlineStr">
        <is>
          <t>Contract Group ID</t>
        </is>
      </c>
      <c r="C3" s="6" t="inlineStr">
        <is>
          <t>policy.group_id</t>
        </is>
      </c>
      <c r="D3" s="6" t="inlineStr">
        <is>
          <t>group_id</t>
        </is>
      </c>
      <c r="E3" s="6" t="inlineStr">
        <is>
          <t>String</t>
        </is>
      </c>
      <c r="F3" s="6" t="inlineStr">
        <is>
          <t>System</t>
        </is>
      </c>
      <c r="G3" s="6" t="inlineStr">
        <is>
          <t>Y</t>
        </is>
      </c>
      <c r="H3" s="6" t="inlineStr"/>
      <c r="I3" s="6" t="inlineStr">
        <is>
          <t>GRP-MOTOR-2026-Q1</t>
        </is>
      </c>
      <c r="J3" s="24" t="inlineStr">
        <is>
          <t>ok</t>
        </is>
      </c>
      <c r="K3" s="6" t="inlineStr">
        <is>
          <t>IFRS 17 unit of account</t>
        </is>
      </c>
    </row>
    <row r="4" ht="22" customHeight="1">
      <c r="A4" s="15" t="inlineStr">
        <is>
          <t>measurement_model</t>
        </is>
      </c>
      <c r="B4" s="15" t="inlineStr">
        <is>
          <t>Measurement Model</t>
        </is>
      </c>
      <c r="C4" s="15" t="inlineStr">
        <is>
          <t>policy.model</t>
        </is>
      </c>
      <c r="D4" s="15" t="inlineStr">
        <is>
          <t>model</t>
        </is>
      </c>
      <c r="E4" s="15" t="inlineStr">
        <is>
          <t>String</t>
        </is>
      </c>
      <c r="F4" s="15" t="inlineStr">
        <is>
          <t>System</t>
        </is>
      </c>
      <c r="G4" s="15" t="inlineStr">
        <is>
          <t>Y</t>
        </is>
      </c>
      <c r="H4" s="15" t="inlineStr"/>
      <c r="I4" s="15" t="inlineStr">
        <is>
          <t>GMM</t>
        </is>
      </c>
      <c r="J4" s="24" t="inlineStr">
        <is>
          <t>ok</t>
        </is>
      </c>
      <c r="K4" s="15" t="inlineStr">
        <is>
          <t>GMM/VFA/PAA</t>
        </is>
      </c>
    </row>
    <row r="5" ht="22" customHeight="1">
      <c r="A5" s="6" t="inlineStr">
        <is>
          <t>cohort_year</t>
        </is>
      </c>
      <c r="B5" s="6" t="inlineStr">
        <is>
          <t>Annual Cohort</t>
        </is>
      </c>
      <c r="C5" s="6" t="inlineStr">
        <is>
          <t>policy.inception_year</t>
        </is>
      </c>
      <c r="D5" s="6" t="inlineStr">
        <is>
          <t>cohort</t>
        </is>
      </c>
      <c r="E5" s="6" t="inlineStr">
        <is>
          <t>Integer</t>
        </is>
      </c>
      <c r="F5" s="6" t="inlineStr">
        <is>
          <t>System</t>
        </is>
      </c>
      <c r="G5" s="6" t="inlineStr">
        <is>
          <t>Y</t>
        </is>
      </c>
      <c r="H5" s="6" t="inlineStr"/>
      <c r="I5" s="6" t="inlineStr">
        <is>
          <t>2026</t>
        </is>
      </c>
      <c r="J5" s="24" t="inlineStr">
        <is>
          <t>ok</t>
        </is>
      </c>
      <c r="K5" s="6" t="inlineStr">
        <is>
          <t>IFRS 17 annual cohort requirement</t>
        </is>
      </c>
    </row>
    <row r="6" ht="22" customHeight="1">
      <c r="A6" s="15" t="inlineStr">
        <is>
          <t>bel_current</t>
        </is>
      </c>
      <c r="B6" s="15" t="inlineStr">
        <is>
          <t>Best Estimate Liability</t>
        </is>
      </c>
      <c r="C6" s="15" t="inlineStr">
        <is>
          <t>actuarial.bel_current</t>
        </is>
      </c>
      <c r="D6" s="15" t="inlineStr">
        <is>
          <t>bel</t>
        </is>
      </c>
      <c r="E6" s="15" t="inlineStr">
        <is>
          <t>Decimal</t>
        </is>
      </c>
      <c r="F6" s="15" t="inlineStr">
        <is>
          <t>Calculated</t>
        </is>
      </c>
      <c r="G6" s="15" t="inlineStr">
        <is>
          <t>Y</t>
        </is>
      </c>
      <c r="H6" s="14" t="inlineStr">
        <is>
          <t>BR001</t>
        </is>
      </c>
      <c r="I6" s="15" t="inlineStr">
        <is>
          <t>4250000.00</t>
        </is>
      </c>
      <c r="J6" s="24" t="inlineStr">
        <is>
          <t>ok</t>
        </is>
      </c>
      <c r="K6" s="15" t="inlineStr"/>
    </row>
    <row r="7" ht="22" customHeight="1">
      <c r="A7" s="6" t="inlineStr">
        <is>
          <t>risk_adjustment</t>
        </is>
      </c>
      <c r="B7" s="6" t="inlineStr">
        <is>
          <t>Risk Adjustment</t>
        </is>
      </c>
      <c r="C7" s="6" t="inlineStr">
        <is>
          <t>actuarial.risk_adjustment</t>
        </is>
      </c>
      <c r="D7" s="6" t="inlineStr">
        <is>
          <t>ra</t>
        </is>
      </c>
      <c r="E7" s="6" t="inlineStr">
        <is>
          <t>Decimal</t>
        </is>
      </c>
      <c r="F7" s="6" t="inlineStr">
        <is>
          <t>Calculated</t>
        </is>
      </c>
      <c r="G7" s="6" t="inlineStr">
        <is>
          <t>Y</t>
        </is>
      </c>
      <c r="H7" s="13" t="inlineStr">
        <is>
          <t>BR008</t>
        </is>
      </c>
      <c r="I7" s="6" t="inlineStr">
        <is>
          <t>318750.00</t>
        </is>
      </c>
      <c r="J7" s="24" t="inlineStr">
        <is>
          <t>ok</t>
        </is>
      </c>
      <c r="K7" s="6" t="inlineStr">
        <is>
          <t>Typically 5-8% of BEL</t>
        </is>
      </c>
    </row>
    <row r="8" ht="22" customHeight="1">
      <c r="A8" s="15" t="inlineStr">
        <is>
          <t>csm_opening</t>
        </is>
      </c>
      <c r="B8" s="15" t="inlineStr">
        <is>
          <t>CSM Opening Balance</t>
        </is>
      </c>
      <c r="C8" s="15" t="inlineStr">
        <is>
          <t>actuarial.csm_opening</t>
        </is>
      </c>
      <c r="D8" s="15" t="inlineStr">
        <is>
          <t>csm_open</t>
        </is>
      </c>
      <c r="E8" s="15" t="inlineStr">
        <is>
          <t>Decimal</t>
        </is>
      </c>
      <c r="F8" s="15" t="inlineStr">
        <is>
          <t>Calculated</t>
        </is>
      </c>
      <c r="G8" s="15" t="inlineStr">
        <is>
          <t>Y</t>
        </is>
      </c>
      <c r="H8" s="14" t="inlineStr">
        <is>
          <t>BR002</t>
        </is>
      </c>
      <c r="I8" s="15" t="inlineStr">
        <is>
          <t>890000.00</t>
        </is>
      </c>
      <c r="J8" s="24" t="inlineStr">
        <is>
          <t>ok</t>
        </is>
      </c>
      <c r="K8" s="15" t="inlineStr"/>
    </row>
    <row r="9" ht="22" customHeight="1">
      <c r="A9" s="6" t="inlineStr">
        <is>
          <t>csm_amortisation</t>
        </is>
      </c>
      <c r="B9" s="6" t="inlineStr">
        <is>
          <t>CSM Amortisation</t>
        </is>
      </c>
      <c r="C9" s="6" t="inlineStr">
        <is>
          <t>actuarial.csm_amort</t>
        </is>
      </c>
      <c r="D9" s="6" t="inlineStr">
        <is>
          <t>csm_amort</t>
        </is>
      </c>
      <c r="E9" s="6" t="inlineStr">
        <is>
          <t>Decimal</t>
        </is>
      </c>
      <c r="F9" s="6" t="inlineStr">
        <is>
          <t>Calculated</t>
        </is>
      </c>
      <c r="G9" s="6" t="inlineStr">
        <is>
          <t>Y</t>
        </is>
      </c>
      <c r="H9" s="13" t="inlineStr">
        <is>
          <t>BR002</t>
        </is>
      </c>
      <c r="I9" s="6" t="inlineStr">
        <is>
          <t>-112500.00</t>
        </is>
      </c>
      <c r="J9" s="24" t="inlineStr">
        <is>
          <t>ok</t>
        </is>
      </c>
      <c r="K9" s="6" t="inlineStr">
        <is>
          <t>Negative = P&amp;L release</t>
        </is>
      </c>
    </row>
    <row r="10" ht="22" customHeight="1">
      <c r="A10" s="15" t="inlineStr">
        <is>
          <t>coverage_units_total</t>
        </is>
      </c>
      <c r="B10" s="15" t="inlineStr">
        <is>
          <t>Total Coverage Units</t>
        </is>
      </c>
      <c r="C10" s="15" t="inlineStr">
        <is>
          <t>actuarial.cu_total</t>
        </is>
      </c>
      <c r="D10" s="15" t="inlineStr">
        <is>
          <t>cu_total</t>
        </is>
      </c>
      <c r="E10" s="15" t="inlineStr">
        <is>
          <t>Decimal</t>
        </is>
      </c>
      <c r="F10" s="15" t="inlineStr">
        <is>
          <t>Calculated</t>
        </is>
      </c>
      <c r="G10" s="15" t="inlineStr">
        <is>
          <t>Y</t>
        </is>
      </c>
      <c r="H10" s="14" t="inlineStr">
        <is>
          <t>BR002</t>
        </is>
      </c>
      <c r="I10" s="15" t="inlineStr">
        <is>
          <t>48000</t>
        </is>
      </c>
      <c r="J10" s="24" t="inlineStr">
        <is>
          <t>ok</t>
        </is>
      </c>
      <c r="K10" s="15" t="inlineStr"/>
    </row>
    <row r="11" ht="22" customHeight="1">
      <c r="A11" s="6" t="inlineStr">
        <is>
          <t>coverage_units_current</t>
        </is>
      </c>
      <c r="B11" s="6" t="inlineStr">
        <is>
          <t>Current Period Units</t>
        </is>
      </c>
      <c r="C11" s="6" t="inlineStr">
        <is>
          <t>actuarial.cu_current</t>
        </is>
      </c>
      <c r="D11" s="6" t="inlineStr">
        <is>
          <t>cu_current</t>
        </is>
      </c>
      <c r="E11" s="6" t="inlineStr">
        <is>
          <t>Decimal</t>
        </is>
      </c>
      <c r="F11" s="6" t="inlineStr">
        <is>
          <t>Calculated</t>
        </is>
      </c>
      <c r="G11" s="6" t="inlineStr">
        <is>
          <t>Y</t>
        </is>
      </c>
      <c r="H11" s="13" t="inlineStr">
        <is>
          <t>BR002</t>
        </is>
      </c>
      <c r="I11" s="6" t="inlineStr">
        <is>
          <t>4000</t>
        </is>
      </c>
      <c r="J11" s="24" t="inlineStr">
        <is>
          <t>ok</t>
        </is>
      </c>
      <c r="K11" s="6" t="inlineStr"/>
    </row>
    <row r="12" ht="22" customHeight="1">
      <c r="A12" s="15" t="inlineStr">
        <is>
          <t>discount_rate</t>
        </is>
      </c>
      <c r="B12" s="15" t="inlineStr">
        <is>
          <t>Discount Rate Applied</t>
        </is>
      </c>
      <c r="C12" s="15" t="inlineStr">
        <is>
          <t>actuarial.discount_rate</t>
        </is>
      </c>
      <c r="D12" s="15" t="inlineStr">
        <is>
          <t>disc_rate</t>
        </is>
      </c>
      <c r="E12" s="15" t="inlineStr">
        <is>
          <t>Decimal</t>
        </is>
      </c>
      <c r="F12" s="15" t="inlineStr">
        <is>
          <t>System</t>
        </is>
      </c>
      <c r="G12" s="15" t="inlineStr">
        <is>
          <t>Y</t>
        </is>
      </c>
      <c r="H12" s="14" t="inlineStr">
        <is>
          <t>BR006</t>
        </is>
      </c>
      <c r="I12" s="15" t="inlineStr">
        <is>
          <t>0.0285</t>
        </is>
      </c>
      <c r="J12" s="24" t="inlineStr">
        <is>
          <t>ok</t>
        </is>
      </c>
      <c r="K12" s="15" t="inlineStr">
        <is>
          <t>2.85% locked-in rate</t>
        </is>
      </c>
    </row>
    <row r="13" ht="22" customHeight="1">
      <c r="A13" s="6" t="inlineStr">
        <is>
          <t>onerous_flag</t>
        </is>
      </c>
      <c r="B13" s="6" t="inlineStr">
        <is>
          <t>Onerous Indicator</t>
        </is>
      </c>
      <c r="C13" s="6" t="inlineStr">
        <is>
          <t>actuarial.onerous</t>
        </is>
      </c>
      <c r="D13" s="6" t="inlineStr">
        <is>
          <t>is_onerous</t>
        </is>
      </c>
      <c r="E13" s="6" t="inlineStr">
        <is>
          <t>Boolean</t>
        </is>
      </c>
      <c r="F13" s="6" t="inlineStr">
        <is>
          <t>Calculated</t>
        </is>
      </c>
      <c r="G13" s="6" t="inlineStr">
        <is>
          <t>Y</t>
        </is>
      </c>
      <c r="H13" s="13" t="inlineStr">
        <is>
          <t>BR004</t>
        </is>
      </c>
      <c r="I13" s="6" t="inlineStr">
        <is>
          <t>false</t>
        </is>
      </c>
      <c r="J13" s="24" t="inlineStr">
        <is>
          <t>ok</t>
        </is>
      </c>
      <c r="K13" s="6" t="inlineStr"/>
    </row>
    <row r="14" ht="22" customHeight="1">
      <c r="A14" s="15" t="inlineStr">
        <is>
          <t>loss_component</t>
        </is>
      </c>
      <c r="B14" s="15" t="inlineStr">
        <is>
          <t>Loss Component</t>
        </is>
      </c>
      <c r="C14" s="15" t="inlineStr">
        <is>
          <t>actuarial.loss_component</t>
        </is>
      </c>
      <c r="D14" s="15" t="inlineStr">
        <is>
          <t>loss_comp</t>
        </is>
      </c>
      <c r="E14" s="15" t="inlineStr">
        <is>
          <t>Decimal</t>
        </is>
      </c>
      <c r="F14" s="15" t="inlineStr">
        <is>
          <t>Calculated</t>
        </is>
      </c>
      <c r="G14" s="15" t="inlineStr">
        <is>
          <t>N</t>
        </is>
      </c>
      <c r="H14" s="14" t="inlineStr">
        <is>
          <t>BR005</t>
        </is>
      </c>
      <c r="I14" s="15" t="inlineStr">
        <is>
          <t>0</t>
        </is>
      </c>
      <c r="J14" s="24" t="inlineStr">
        <is>
          <t>ok</t>
        </is>
      </c>
      <c r="K14" s="15" t="inlineStr">
        <is>
          <t>Only if onerous</t>
        </is>
      </c>
    </row>
    <row r="15" ht="22" customHeight="1">
      <c r="A15" s="6" t="inlineStr">
        <is>
          <t>premium_received</t>
        </is>
      </c>
      <c r="B15" s="6" t="inlineStr">
        <is>
          <t>Premiums Received</t>
        </is>
      </c>
      <c r="C15" s="6" t="inlineStr">
        <is>
          <t>finance.premium_ytd</t>
        </is>
      </c>
      <c r="D15" s="6" t="inlineStr">
        <is>
          <t>premium</t>
        </is>
      </c>
      <c r="E15" s="6" t="inlineStr">
        <is>
          <t>Decimal</t>
        </is>
      </c>
      <c r="F15" s="6" t="inlineStr">
        <is>
          <t>Read</t>
        </is>
      </c>
      <c r="G15" s="6" t="inlineStr">
        <is>
          <t>Y</t>
        </is>
      </c>
      <c r="H15" s="6" t="inlineStr"/>
      <c r="I15" s="6" t="inlineStr">
        <is>
          <t>1250000.00</t>
        </is>
      </c>
      <c r="J15" s="24" t="inlineStr">
        <is>
          <t>ok</t>
        </is>
      </c>
      <c r="K15" s="6" t="inlineStr"/>
    </row>
    <row r="16" ht="22" customHeight="1">
      <c r="A16" s="15" t="inlineStr">
        <is>
          <t>claims_incurred</t>
        </is>
      </c>
      <c r="B16" s="15" t="inlineStr">
        <is>
          <t>Claims Incurred</t>
        </is>
      </c>
      <c r="C16" s="15" t="inlineStr">
        <is>
          <t>claims.incurred_ytd</t>
        </is>
      </c>
      <c r="D16" s="15" t="inlineStr">
        <is>
          <t>claims</t>
        </is>
      </c>
      <c r="E16" s="15" t="inlineStr">
        <is>
          <t>Decimal</t>
        </is>
      </c>
      <c r="F16" s="15" t="inlineStr">
        <is>
          <t>Read</t>
        </is>
      </c>
      <c r="G16" s="15" t="inlineStr">
        <is>
          <t>Y</t>
        </is>
      </c>
      <c r="H16" s="15" t="inlineStr"/>
      <c r="I16" s="15" t="inlineStr">
        <is>
          <t>780000.00</t>
        </is>
      </c>
      <c r="J16" s="24" t="inlineStr">
        <is>
          <t>ok</t>
        </is>
      </c>
      <c r="K16" s="15" t="inlineStr"/>
    </row>
    <row r="17" ht="22" customHeight="1">
      <c r="A17" s="6" t="inlineStr">
        <is>
          <t>experience_adjustment</t>
        </is>
      </c>
      <c r="B17" s="6" t="inlineStr">
        <is>
          <t>Experience Adjustment</t>
        </is>
      </c>
      <c r="C17" s="6" t="inlineStr">
        <is>
          <t>actuarial.experience_adj</t>
        </is>
      </c>
      <c r="D17" s="6" t="inlineStr">
        <is>
          <t>exp_adj</t>
        </is>
      </c>
      <c r="E17" s="6" t="inlineStr">
        <is>
          <t>Decimal</t>
        </is>
      </c>
      <c r="F17" s="6" t="inlineStr">
        <is>
          <t>Calculated</t>
        </is>
      </c>
      <c r="G17" s="6" t="inlineStr">
        <is>
          <t>N</t>
        </is>
      </c>
      <c r="H17" s="6" t="inlineStr"/>
      <c r="I17" s="6" t="inlineStr">
        <is>
          <t>25000.00</t>
        </is>
      </c>
      <c r="J17" s="24" t="inlineStr">
        <is>
          <t>ok</t>
        </is>
      </c>
      <c r="K17" s="6" t="inlineStr">
        <is>
          <t>Actual vs expected variance</t>
        </is>
      </c>
    </row>
    <row r="18" ht="22" customHeight="1">
      <c r="A18" s="15" t="inlineStr">
        <is>
          <t>assumption_change_impact</t>
        </is>
      </c>
      <c r="B18" s="15" t="inlineStr">
        <is>
          <t>Assumption Change Impact</t>
        </is>
      </c>
      <c r="C18" s="15" t="inlineStr">
        <is>
          <t>actuarial.assumption_impact</t>
        </is>
      </c>
      <c r="D18" s="15" t="inlineStr">
        <is>
          <t>assum_impact</t>
        </is>
      </c>
      <c r="E18" s="15" t="inlineStr">
        <is>
          <t>Decimal</t>
        </is>
      </c>
      <c r="F18" s="15" t="inlineStr">
        <is>
          <t>Calculated</t>
        </is>
      </c>
      <c r="G18" s="15" t="inlineStr">
        <is>
          <t>N</t>
        </is>
      </c>
      <c r="H18" s="14" t="inlineStr">
        <is>
          <t>BR003</t>
        </is>
      </c>
      <c r="I18" s="15" t="inlineStr"/>
      <c r="J18" s="25" t="inlineStr">
        <is>
          <t>TBI</t>
        </is>
      </c>
      <c r="K18" s="15" t="inlineStr">
        <is>
          <t>Impact quantification method not finalised</t>
        </is>
      </c>
    </row>
    <row r="19" ht="22" customHeight="1">
      <c r="A19" s="6" t="inlineStr">
        <is>
          <t>reinsurance_offset</t>
        </is>
      </c>
      <c r="B19" s="6" t="inlineStr">
        <is>
          <t>Reinsurance Offset</t>
        </is>
      </c>
      <c r="C19" s="6" t="inlineStr">
        <is>
          <t>reinsurance.offset</t>
        </is>
      </c>
      <c r="D19" s="6" t="inlineStr">
        <is>
          <t>ri_offset</t>
        </is>
      </c>
      <c r="E19" s="6" t="inlineStr">
        <is>
          <t>Decimal</t>
        </is>
      </c>
      <c r="F19" s="6" t="inlineStr">
        <is>
          <t>Read</t>
        </is>
      </c>
      <c r="G19" s="6" t="inlineStr">
        <is>
          <t>N</t>
        </is>
      </c>
      <c r="H19" s="6" t="inlineStr"/>
      <c r="I19" s="6" t="inlineStr"/>
      <c r="J19" s="25" t="inlineStr">
        <is>
          <t>TBI</t>
        </is>
      </c>
      <c r="K19" s="6" t="inlineStr">
        <is>
          <t>Reinsurance held asset mapping pending</t>
        </is>
      </c>
    </row>
    <row r="20" ht="22" customHeight="1">
      <c r="A20" s="15" t="inlineStr">
        <is>
          <t>solvency_ii_scr</t>
        </is>
      </c>
      <c r="B20" s="15" t="inlineStr">
        <is>
          <t>Solvency II SCR</t>
        </is>
      </c>
      <c r="C20" s="15" t="inlineStr">
        <is>
          <t>regulatory.scr</t>
        </is>
      </c>
      <c r="D20" s="15" t="inlineStr">
        <is>
          <t>scr</t>
        </is>
      </c>
      <c r="E20" s="15" t="inlineStr">
        <is>
          <t>Decimal</t>
        </is>
      </c>
      <c r="F20" s="15" t="inlineStr">
        <is>
          <t>Read</t>
        </is>
      </c>
      <c r="G20" s="15" t="inlineStr">
        <is>
          <t>N</t>
        </is>
      </c>
      <c r="H20" s="15" t="inlineStr"/>
      <c r="I20" s="15" t="inlineStr"/>
      <c r="J20" s="26" t="inlineStr">
        <is>
          <t>Gap</t>
        </is>
      </c>
      <c r="K20" s="15" t="inlineStr">
        <is>
          <t>Parallel run interface not built yet</t>
        </is>
      </c>
    </row>
    <row r="21" ht="22" customHeight="1">
      <c r="A21" s="6" t="inlineStr">
        <is>
          <t>embedded_value_bridge</t>
        </is>
      </c>
      <c r="B21" s="6" t="inlineStr">
        <is>
          <t>EV to IFRS 17 Bridge</t>
        </is>
      </c>
      <c r="C21" s="6" t="inlineStr">
        <is>
          <t>legacy.ev_bridge</t>
        </is>
      </c>
      <c r="D21" s="6" t="inlineStr">
        <is>
          <t>ev_bridge</t>
        </is>
      </c>
      <c r="E21" s="6" t="inlineStr">
        <is>
          <t>Decimal</t>
        </is>
      </c>
      <c r="F21" s="6" t="inlineStr">
        <is>
          <t>Calculated</t>
        </is>
      </c>
      <c r="G21" s="6" t="inlineStr">
        <is>
          <t>N</t>
        </is>
      </c>
      <c r="H21" s="6" t="inlineStr"/>
      <c r="I21" s="6" t="inlineStr"/>
      <c r="J21" s="26" t="inlineStr">
        <is>
          <t>Gap</t>
        </is>
      </c>
      <c r="K21" s="6" t="inlineStr">
        <is>
          <t>No automated reconciliation path</t>
        </is>
      </c>
    </row>
  </sheetData>
  <autoFilter ref="A2:K22"/>
  <mergeCells count="1">
    <mergeCell ref="A1:K1"/>
  </mergeCells>
  <conditionalFormatting sqref="J3:J22">
    <cfRule type="cellIs" priority="1" operator="equal" dxfId="0">
      <formula>"TBI"</formula>
    </cfRule>
    <cfRule type="cellIs" priority="2" operator="equal" dxfId="3">
      <formula>"Gap"</formula>
    </cfRule>
    <cfRule type="cellIs" priority="3" operator="equal" dxfId="1">
      <formula>"ok"</formula>
    </cfRule>
  </conditionalFormatting>
  <dataValidations count="4">
    <dataValidation sqref="J3:J22" showDropDown="0" showInputMessage="0" showErrorMessage="0" allowBlank="1" errorTitle="Invalid value" error="Please select a valid option" type="list">
      <formula1>"ok,TBI,Gap,N/A,Partial,Deprecated"</formula1>
    </dataValidation>
    <dataValidation sqref="E3:E22" showDropDown="0" showInputMessage="0" showErrorMessage="0" allowBlank="1" errorTitle="Invalid value" error="Please select a valid option" type="list">
      <formula1>"String,Integer,Decimal,Boolean,Date,DateTime,Array,Object,Enum"</formula1>
    </dataValidation>
    <dataValidation sqref="F3:F22" showDropDown="0" showInputMessage="0" showErrorMessage="0" allowBlank="1" errorTitle="Invalid value" error="Please select a valid option" type="list">
      <formula1>"Read,Edit,Auto,System,Calculated"</formula1>
    </dataValidation>
    <dataValidation sqref="G3:G22" showDropDown="0" showInputMessage="0" showErrorMessage="0" allowBlank="1" errorTitle="Invalid value" error="Please select a valid option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172A"/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45" customWidth="1" min="3" max="3"/>
    <col width="10" customWidth="1" min="4" max="4"/>
    <col width="50" customWidth="1" min="5" max="5"/>
    <col width="10" customWidth="1" min="6" max="6"/>
    <col width="12" customWidth="1" min="7" max="7"/>
  </cols>
  <sheetData>
    <row r="1" ht="32" customHeight="1">
      <c r="A1" s="27" t="inlineStr">
        <is>
          <t>Req_ID</t>
        </is>
      </c>
      <c r="B1" s="27" t="inlineStr">
        <is>
          <t>Requirement</t>
        </is>
      </c>
      <c r="C1" s="27" t="inlineStr">
        <is>
          <t>User_Story</t>
        </is>
      </c>
      <c r="D1" s="27" t="inlineStr">
        <is>
          <t>Test_Case</t>
        </is>
      </c>
      <c r="E1" s="27" t="inlineStr">
        <is>
          <t>Test_Steps</t>
        </is>
      </c>
      <c r="F1" s="27" t="inlineStr">
        <is>
          <t>Priority</t>
        </is>
      </c>
      <c r="G1" s="27" t="inlineStr">
        <is>
          <t>Status</t>
        </is>
      </c>
    </row>
    <row r="2" ht="22" customHeight="1">
      <c r="A2" s="13" t="inlineStr">
        <is>
          <t>REQ-001</t>
        </is>
      </c>
      <c r="B2" s="6" t="inlineStr">
        <is>
          <t>System shall calculate Best Estimate Liability as probability-weighted PV of future cashflows with risk adjustment at each reporting date</t>
        </is>
      </c>
      <c r="C2" s="6" t="inlineStr">
        <is>
          <t>As an actuary I want automated BEL calculation so that quarterly valuations are consistent and auditable</t>
        </is>
      </c>
      <c r="D2" s="13" t="inlineStr">
        <is>
          <t>TC-001</t>
        </is>
      </c>
      <c r="E2" s="6" t="inlineStr">
        <is>
          <t>Given motor portfolio Q1 data When actuarial engine runs Then BEL equals sum of discounted cashflows within 0.01% of manual calculation</t>
        </is>
      </c>
      <c r="F2" s="6" t="inlineStr">
        <is>
          <t>Critical</t>
        </is>
      </c>
      <c r="G2" s="6" t="inlineStr">
        <is>
          <t>Approved</t>
        </is>
      </c>
    </row>
    <row r="3" ht="22" customHeight="1">
      <c r="A3" s="14" t="inlineStr">
        <is>
          <t>REQ-002</t>
        </is>
      </c>
      <c r="B3" s="15" t="inlineStr">
        <is>
          <t>System shall amortise CSM based on coverage units reflecting quantity of service in each period</t>
        </is>
      </c>
      <c r="C3" s="15" t="inlineStr">
        <is>
          <t>As a finance controller I want systematic CSM release so that profit recognition matches service delivery per IFRS 17</t>
        </is>
      </c>
      <c r="D3" s="14" t="inlineStr">
        <is>
          <t>TC-002</t>
        </is>
      </c>
      <c r="E3" s="15" t="inlineStr">
        <is>
          <t>Given group with 48000 total CU and 4000 current CU When amortisation calculated Then CSM release = opening CSM * (4000/48000) per BR002</t>
        </is>
      </c>
      <c r="F3" s="15" t="inlineStr">
        <is>
          <t>Critical</t>
        </is>
      </c>
      <c r="G3" s="15" t="inlineStr">
        <is>
          <t>In Progress</t>
        </is>
      </c>
    </row>
    <row r="4" ht="22" customHeight="1">
      <c r="A4" s="13" t="inlineStr">
        <is>
          <t>REQ-003</t>
        </is>
      </c>
      <c r="B4" s="6" t="inlineStr">
        <is>
          <t>System shall update actuarial assumptions quarterly using latest experience data with documented rationale</t>
        </is>
      </c>
      <c r="C4" s="6" t="inlineStr">
        <is>
          <t>As a chief actuary I want assumption governance so that our models reflect current best estimates per IFRS 17.36</t>
        </is>
      </c>
      <c r="D4" s="13" t="inlineStr">
        <is>
          <t>TC-003</t>
        </is>
      </c>
      <c r="E4" s="6" t="inlineStr">
        <is>
          <t>Given mortality experience 5% better than assumed When assumption updated Then BEL decreases and change flows through CSM (not P&amp;L) for non-onerous groups</t>
        </is>
      </c>
      <c r="F4" s="6" t="inlineStr">
        <is>
          <t>High</t>
        </is>
      </c>
      <c r="G4" s="6" t="inlineStr">
        <is>
          <t>Draft</t>
        </is>
      </c>
    </row>
    <row r="5" ht="22" customHeight="1">
      <c r="A5" s="14" t="inlineStr">
        <is>
          <t>REQ-004</t>
        </is>
      </c>
      <c r="B5" s="15" t="inlineStr">
        <is>
          <t>System shall test all contract groups for onerousness and recognise loss components immediately in P&amp;L</t>
        </is>
      </c>
      <c r="C5" s="15" t="inlineStr">
        <is>
          <t>As an auditor I want transparent onerous testing so that losses are not deferred inappropriately per IFRS 17.47</t>
        </is>
      </c>
      <c r="D5" s="14" t="inlineStr">
        <is>
          <t>TC-004</t>
        </is>
      </c>
      <c r="E5" s="15" t="inlineStr">
        <is>
          <t>Given group where FCF exceeds premiums by 100K When onerous test runs Then loss component of 100K recognised in P&amp;L immediately per BR005</t>
        </is>
      </c>
      <c r="F5" s="15" t="inlineStr">
        <is>
          <t>Critical</t>
        </is>
      </c>
      <c r="G5" s="15" t="inlineStr">
        <is>
          <t>Approved</t>
        </is>
      </c>
    </row>
    <row r="6" ht="22" customHeight="1">
      <c r="A6" s="13" t="inlineStr">
        <is>
          <t>REQ-005</t>
        </is>
      </c>
      <c r="B6" s="6" t="inlineStr">
        <is>
          <t>System shall apply discount rates using bottom-up or top-down approach with documented methodology</t>
        </is>
      </c>
      <c r="C6" s="6" t="inlineStr">
        <is>
          <t>As a finance controller I want consistent discount rate application so that liability valuations are comparable</t>
        </is>
      </c>
      <c r="D6" s="13" t="inlineStr">
        <is>
          <t>TC-005</t>
        </is>
      </c>
      <c r="E6" s="6" t="inlineStr">
        <is>
          <t>Given EUR portfolio When discount rate selected Then rate reflects risk-free yield curve + illiquidity premium per BR006</t>
        </is>
      </c>
      <c r="F6" s="6" t="inlineStr">
        <is>
          <t>High</t>
        </is>
      </c>
      <c r="G6" s="6" t="inlineStr">
        <is>
          <t>Draft</t>
        </is>
      </c>
    </row>
    <row r="7" ht="22" customHeight="1">
      <c r="A7" s="14" t="inlineStr">
        <is>
          <t>REQ-006</t>
        </is>
      </c>
      <c r="B7" s="15" t="inlineStr">
        <is>
          <t>System shall determine contract boundaries and exclude premiums beyond the boundary from measurement</t>
        </is>
      </c>
      <c r="C7" s="15" t="inlineStr">
        <is>
          <t>As an actuary I want correct boundary assessment so that we do not overstate future premium revenue per IFRS 17.34</t>
        </is>
      </c>
      <c r="D7" s="14" t="inlineStr">
        <is>
          <t>TC-006</t>
        </is>
      </c>
      <c r="E7" s="15" t="inlineStr">
        <is>
          <t>Given annual renewable policy When boundary assessed Then measurement includes only current period premiums per BR007</t>
        </is>
      </c>
      <c r="F7" s="15" t="inlineStr">
        <is>
          <t>High</t>
        </is>
      </c>
      <c r="G7" s="15" t="inlineStr">
        <is>
          <t>Draft</t>
        </is>
      </c>
    </row>
  </sheetData>
  <autoFilter ref="A1:G8"/>
  <conditionalFormatting sqref="G2:G8">
    <cfRule type="cellIs" priority="1" operator="equal" dxfId="1">
      <formula>"Approved"</formula>
    </cfRule>
    <cfRule type="cellIs" priority="2" operator="equal" dxfId="4">
      <formula>"Draft"</formula>
    </cfRule>
    <cfRule type="cellIs" priority="3" operator="equal" dxfId="2">
      <formula>"In Progress"</formula>
    </cfRule>
  </conditionalFormatting>
  <dataValidations count="2">
    <dataValidation sqref="F2:F8" showDropDown="0" showInputMessage="0" showErrorMessage="0" allowBlank="1" errorTitle="Invalid value" error="Please select a valid option" type="list">
      <formula1>"Critical,High,Medium,Low"</formula1>
    </dataValidation>
    <dataValidation sqref="G2:G8" showDropDown="0" showInputMessage="0" showErrorMessage="0" allowBlank="1" errorTitle="Invalid value" error="Please select a valid option" type="list">
      <formula1>"Draft,Approved,In Progress,Implemented,Tested,Deployed"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/>
  </sheetPr>
  <dimension ref="A1:F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8" customWidth="1" min="5" max="5"/>
    <col width="55" customWidth="1" min="6" max="6"/>
  </cols>
  <sheetData>
    <row r="1" ht="30" customHeight="1">
      <c r="A1" s="28" t="inlineStr">
        <is>
          <t>Cross-Reference Map</t>
        </is>
      </c>
    </row>
    <row r="2">
      <c r="A2" s="29" t="inlineStr">
        <is>
          <t>Shows all links between actors, workflows, rules, fields, requirements, and endpoints</t>
        </is>
      </c>
    </row>
    <row r="4" ht="32" customHeight="1">
      <c r="A4" s="16" t="inlineStr">
        <is>
          <t>Source Type</t>
        </is>
      </c>
      <c r="B4" s="16" t="inlineStr">
        <is>
          <t>Source ID</t>
        </is>
      </c>
      <c r="C4" s="16" t="inlineStr">
        <is>
          <t>Link Type</t>
        </is>
      </c>
      <c r="D4" s="16" t="inlineStr">
        <is>
          <t>Target Type</t>
        </is>
      </c>
      <c r="E4" s="16" t="inlineStr">
        <is>
          <t>Target ID</t>
        </is>
      </c>
      <c r="F4" s="16" t="inlineStr">
        <is>
          <t>Context</t>
        </is>
      </c>
    </row>
    <row r="5" ht="22" customHeight="1">
      <c r="A5" s="25" t="inlineStr">
        <is>
          <t>Workflow</t>
        </is>
      </c>
      <c r="B5" s="13" t="inlineStr">
        <is>
          <t>WF001</t>
        </is>
      </c>
      <c r="C5" s="30" t="inlineStr">
        <is>
          <t>uses actor</t>
        </is>
      </c>
      <c r="D5" s="31" t="inlineStr">
        <is>
          <t>Actor</t>
        </is>
      </c>
      <c r="E5" s="13" t="inlineStr">
        <is>
          <t>AC001</t>
        </is>
      </c>
      <c r="F5" s="6" t="inlineStr">
        <is>
          <t>Chief Actuary reviews assumptions (step 4)</t>
        </is>
      </c>
    </row>
    <row r="6" ht="22" customHeight="1">
      <c r="A6" s="25" t="inlineStr">
        <is>
          <t>Workflow</t>
        </is>
      </c>
      <c r="B6" s="14" t="inlineStr">
        <is>
          <t>WF001</t>
        </is>
      </c>
      <c r="C6" s="32" t="inlineStr">
        <is>
          <t>uses actor</t>
        </is>
      </c>
      <c r="D6" s="31" t="inlineStr">
        <is>
          <t>Actor</t>
        </is>
      </c>
      <c r="E6" s="14" t="inlineStr">
        <is>
          <t>AC002</t>
        </is>
      </c>
      <c r="F6" s="15" t="inlineStr">
        <is>
          <t>Finance Controller approves close (step 9)</t>
        </is>
      </c>
    </row>
    <row r="7" ht="22" customHeight="1">
      <c r="A7" s="25" t="inlineStr">
        <is>
          <t>Workflow</t>
        </is>
      </c>
      <c r="B7" s="13" t="inlineStr">
        <is>
          <t>WF001</t>
        </is>
      </c>
      <c r="C7" s="30" t="inlineStr">
        <is>
          <t>uses actor</t>
        </is>
      </c>
      <c r="D7" s="31" t="inlineStr">
        <is>
          <t>Actor</t>
        </is>
      </c>
      <c r="E7" s="13" t="inlineStr">
        <is>
          <t>AC005</t>
        </is>
      </c>
      <c r="F7" s="6" t="inlineStr">
        <is>
          <t>Actuarial Engine runs BEL + CSM (steps 3,5,6)</t>
        </is>
      </c>
    </row>
    <row r="8" ht="22" customHeight="1">
      <c r="A8" s="25" t="inlineStr">
        <is>
          <t>Workflow</t>
        </is>
      </c>
      <c r="B8" s="14" t="inlineStr">
        <is>
          <t>WF001</t>
        </is>
      </c>
      <c r="C8" s="32" t="inlineStr">
        <is>
          <t>uses actor</t>
        </is>
      </c>
      <c r="D8" s="31" t="inlineStr">
        <is>
          <t>Actor</t>
        </is>
      </c>
      <c r="E8" s="14" t="inlineStr">
        <is>
          <t>AC006</t>
        </is>
      </c>
      <c r="F8" s="15" t="inlineStr">
        <is>
          <t>GL receives journal entries (step 7)</t>
        </is>
      </c>
    </row>
    <row r="9" ht="22" customHeight="1">
      <c r="A9" s="25" t="inlineStr">
        <is>
          <t>Workflow</t>
        </is>
      </c>
      <c r="B9" s="13" t="inlineStr">
        <is>
          <t>WF001</t>
        </is>
      </c>
      <c r="C9" s="30" t="inlineStr">
        <is>
          <t>triggers rule</t>
        </is>
      </c>
      <c r="D9" s="33" t="inlineStr">
        <is>
          <t>Rule</t>
        </is>
      </c>
      <c r="E9" s="13" t="inlineStr">
        <is>
          <t>BR001</t>
        </is>
      </c>
      <c r="F9" s="6" t="inlineStr">
        <is>
          <t>BEL calculation at step 3</t>
        </is>
      </c>
    </row>
    <row r="10" ht="22" customHeight="1">
      <c r="A10" s="25" t="inlineStr">
        <is>
          <t>Workflow</t>
        </is>
      </c>
      <c r="B10" s="14" t="inlineStr">
        <is>
          <t>WF001</t>
        </is>
      </c>
      <c r="C10" s="32" t="inlineStr">
        <is>
          <t>triggers rule</t>
        </is>
      </c>
      <c r="D10" s="33" t="inlineStr">
        <is>
          <t>Rule</t>
        </is>
      </c>
      <c r="E10" s="14" t="inlineStr">
        <is>
          <t>BR002</t>
        </is>
      </c>
      <c r="F10" s="15" t="inlineStr">
        <is>
          <t>CSM amortisation at step 5</t>
        </is>
      </c>
    </row>
    <row r="11" ht="22" customHeight="1">
      <c r="A11" s="25" t="inlineStr">
        <is>
          <t>Workflow</t>
        </is>
      </c>
      <c r="B11" s="13" t="inlineStr">
        <is>
          <t>WF002</t>
        </is>
      </c>
      <c r="C11" s="30" t="inlineStr">
        <is>
          <t>triggers rule</t>
        </is>
      </c>
      <c r="D11" s="33" t="inlineStr">
        <is>
          <t>Rule</t>
        </is>
      </c>
      <c r="E11" s="13" t="inlineStr">
        <is>
          <t>BR004</t>
        </is>
      </c>
      <c r="F11" s="6" t="inlineStr">
        <is>
          <t>Onerous contract test</t>
        </is>
      </c>
    </row>
    <row r="12" ht="22" customHeight="1">
      <c r="A12" s="25" t="inlineStr">
        <is>
          <t>Workflow</t>
        </is>
      </c>
      <c r="B12" s="14" t="inlineStr">
        <is>
          <t>WF002</t>
        </is>
      </c>
      <c r="C12" s="32" t="inlineStr">
        <is>
          <t>triggers rule</t>
        </is>
      </c>
      <c r="D12" s="33" t="inlineStr">
        <is>
          <t>Rule</t>
        </is>
      </c>
      <c r="E12" s="14" t="inlineStr">
        <is>
          <t>BR005</t>
        </is>
      </c>
      <c r="F12" s="15" t="inlineStr">
        <is>
          <t>Loss component recognition</t>
        </is>
      </c>
    </row>
    <row r="13" ht="22" customHeight="1">
      <c r="A13" s="33" t="inlineStr">
        <is>
          <t>Rule</t>
        </is>
      </c>
      <c r="B13" s="13" t="inlineStr">
        <is>
          <t>BR001</t>
        </is>
      </c>
      <c r="C13" s="30" t="inlineStr">
        <is>
          <t>implements</t>
        </is>
      </c>
      <c r="D13" s="34" t="inlineStr">
        <is>
          <t>Requirement</t>
        </is>
      </c>
      <c r="E13" s="13" t="inlineStr">
        <is>
          <t>REQ-001</t>
        </is>
      </c>
      <c r="F13" s="6" t="inlineStr">
        <is>
          <t>BEL probability-weighted PV of cashflows</t>
        </is>
      </c>
    </row>
    <row r="14" ht="22" customHeight="1">
      <c r="A14" s="33" t="inlineStr">
        <is>
          <t>Rule</t>
        </is>
      </c>
      <c r="B14" s="14" t="inlineStr">
        <is>
          <t>BR001</t>
        </is>
      </c>
      <c r="C14" s="32" t="inlineStr">
        <is>
          <t>controls field</t>
        </is>
      </c>
      <c r="D14" s="5" t="inlineStr">
        <is>
          <t>Field</t>
        </is>
      </c>
      <c r="E14" s="14" t="inlineStr">
        <is>
          <t>bel_current</t>
        </is>
      </c>
      <c r="F14" s="15" t="inlineStr">
        <is>
          <t>Best Estimate Liability output</t>
        </is>
      </c>
    </row>
    <row r="15" ht="22" customHeight="1">
      <c r="A15" s="33" t="inlineStr">
        <is>
          <t>Rule</t>
        </is>
      </c>
      <c r="B15" s="13" t="inlineStr">
        <is>
          <t>BR001</t>
        </is>
      </c>
      <c r="C15" s="30" t="inlineStr">
        <is>
          <t>controls field</t>
        </is>
      </c>
      <c r="D15" s="5" t="inlineStr">
        <is>
          <t>Field</t>
        </is>
      </c>
      <c r="E15" s="13" t="inlineStr">
        <is>
          <t>risk_adjustment</t>
        </is>
      </c>
      <c r="F15" s="6" t="inlineStr">
        <is>
          <t>Risk Adjustment at 75th-85th pctile</t>
        </is>
      </c>
    </row>
    <row r="16" ht="22" customHeight="1">
      <c r="A16" s="33" t="inlineStr">
        <is>
          <t>Rule</t>
        </is>
      </c>
      <c r="B16" s="14" t="inlineStr">
        <is>
          <t>BR002</t>
        </is>
      </c>
      <c r="C16" s="32" t="inlineStr">
        <is>
          <t>implements</t>
        </is>
      </c>
      <c r="D16" s="34" t="inlineStr">
        <is>
          <t>Requirement</t>
        </is>
      </c>
      <c r="E16" s="14" t="inlineStr">
        <is>
          <t>REQ-002</t>
        </is>
      </c>
      <c r="F16" s="15" t="inlineStr">
        <is>
          <t>CSM release by coverage units</t>
        </is>
      </c>
    </row>
    <row r="17" ht="22" customHeight="1">
      <c r="A17" s="33" t="inlineStr">
        <is>
          <t>Rule</t>
        </is>
      </c>
      <c r="B17" s="13" t="inlineStr">
        <is>
          <t>BR002</t>
        </is>
      </c>
      <c r="C17" s="30" t="inlineStr">
        <is>
          <t>controls field</t>
        </is>
      </c>
      <c r="D17" s="5" t="inlineStr">
        <is>
          <t>Field</t>
        </is>
      </c>
      <c r="E17" s="13" t="inlineStr">
        <is>
          <t>csm_opening</t>
        </is>
      </c>
      <c r="F17" s="6" t="inlineStr">
        <is>
          <t>CSM balance</t>
        </is>
      </c>
    </row>
    <row r="18" ht="22" customHeight="1">
      <c r="A18" s="33" t="inlineStr">
        <is>
          <t>Rule</t>
        </is>
      </c>
      <c r="B18" s="14" t="inlineStr">
        <is>
          <t>BR002</t>
        </is>
      </c>
      <c r="C18" s="32" t="inlineStr">
        <is>
          <t>controls field</t>
        </is>
      </c>
      <c r="D18" s="5" t="inlineStr">
        <is>
          <t>Field</t>
        </is>
      </c>
      <c r="E18" s="14" t="inlineStr">
        <is>
          <t>csm_amortisation</t>
        </is>
      </c>
      <c r="F18" s="15" t="inlineStr">
        <is>
          <t>Period release amount</t>
        </is>
      </c>
    </row>
    <row r="19" ht="22" customHeight="1">
      <c r="A19" s="33" t="inlineStr">
        <is>
          <t>Rule</t>
        </is>
      </c>
      <c r="B19" s="13" t="inlineStr">
        <is>
          <t>BR002</t>
        </is>
      </c>
      <c r="C19" s="30" t="inlineStr">
        <is>
          <t>controls field</t>
        </is>
      </c>
      <c r="D19" s="5" t="inlineStr">
        <is>
          <t>Field</t>
        </is>
      </c>
      <c r="E19" s="13" t="inlineStr">
        <is>
          <t>coverage_units_total</t>
        </is>
      </c>
      <c r="F19" s="6" t="inlineStr">
        <is>
          <t>Denominator</t>
        </is>
      </c>
    </row>
    <row r="20" ht="22" customHeight="1">
      <c r="A20" s="33" t="inlineStr">
        <is>
          <t>Rule</t>
        </is>
      </c>
      <c r="B20" s="14" t="inlineStr">
        <is>
          <t>BR002</t>
        </is>
      </c>
      <c r="C20" s="32" t="inlineStr">
        <is>
          <t>controls field</t>
        </is>
      </c>
      <c r="D20" s="5" t="inlineStr">
        <is>
          <t>Field</t>
        </is>
      </c>
      <c r="E20" s="14" t="inlineStr">
        <is>
          <t>coverage_units_current</t>
        </is>
      </c>
      <c r="F20" s="15" t="inlineStr">
        <is>
          <t>Numerator</t>
        </is>
      </c>
    </row>
    <row r="21" ht="22" customHeight="1">
      <c r="A21" s="33" t="inlineStr">
        <is>
          <t>Rule</t>
        </is>
      </c>
      <c r="B21" s="13" t="inlineStr">
        <is>
          <t>BR004</t>
        </is>
      </c>
      <c r="C21" s="30" t="inlineStr">
        <is>
          <t>implements</t>
        </is>
      </c>
      <c r="D21" s="34" t="inlineStr">
        <is>
          <t>Requirement</t>
        </is>
      </c>
      <c r="E21" s="13" t="inlineStr">
        <is>
          <t>REQ-004</t>
        </is>
      </c>
      <c r="F21" s="6" t="inlineStr">
        <is>
          <t>Onerous test: FCF vs premiums</t>
        </is>
      </c>
    </row>
    <row r="22" ht="22" customHeight="1">
      <c r="A22" s="33" t="inlineStr">
        <is>
          <t>Rule</t>
        </is>
      </c>
      <c r="B22" s="14" t="inlineStr">
        <is>
          <t>BR004</t>
        </is>
      </c>
      <c r="C22" s="32" t="inlineStr">
        <is>
          <t>controls field</t>
        </is>
      </c>
      <c r="D22" s="5" t="inlineStr">
        <is>
          <t>Field</t>
        </is>
      </c>
      <c r="E22" s="14" t="inlineStr">
        <is>
          <t>onerous_flag</t>
        </is>
      </c>
      <c r="F22" s="15" t="inlineStr">
        <is>
          <t>Boolean indicator</t>
        </is>
      </c>
    </row>
    <row r="23" ht="22" customHeight="1">
      <c r="A23" s="33" t="inlineStr">
        <is>
          <t>Rule</t>
        </is>
      </c>
      <c r="B23" s="13" t="inlineStr">
        <is>
          <t>BR005</t>
        </is>
      </c>
      <c r="C23" s="30" t="inlineStr">
        <is>
          <t>controls field</t>
        </is>
      </c>
      <c r="D23" s="5" t="inlineStr">
        <is>
          <t>Field</t>
        </is>
      </c>
      <c r="E23" s="13" t="inlineStr">
        <is>
          <t>loss_component</t>
        </is>
      </c>
      <c r="F23" s="6" t="inlineStr">
        <is>
          <t>P&amp;L loss for onerous groups</t>
        </is>
      </c>
    </row>
    <row r="24" ht="22" customHeight="1">
      <c r="A24" s="33" t="inlineStr">
        <is>
          <t>Rule</t>
        </is>
      </c>
      <c r="B24" s="14" t="inlineStr">
        <is>
          <t>BR006</t>
        </is>
      </c>
      <c r="C24" s="32" t="inlineStr">
        <is>
          <t>implements</t>
        </is>
      </c>
      <c r="D24" s="34" t="inlineStr">
        <is>
          <t>Requirement</t>
        </is>
      </c>
      <c r="E24" s="14" t="inlineStr">
        <is>
          <t>REQ-005</t>
        </is>
      </c>
      <c r="F24" s="15" t="inlineStr">
        <is>
          <t>Discount rate bottom-up or top-down</t>
        </is>
      </c>
    </row>
    <row r="25" ht="22" customHeight="1">
      <c r="A25" s="33" t="inlineStr">
        <is>
          <t>Rule</t>
        </is>
      </c>
      <c r="B25" s="13" t="inlineStr">
        <is>
          <t>BR006</t>
        </is>
      </c>
      <c r="C25" s="30" t="inlineStr">
        <is>
          <t>controls field</t>
        </is>
      </c>
      <c r="D25" s="5" t="inlineStr">
        <is>
          <t>Field</t>
        </is>
      </c>
      <c r="E25" s="13" t="inlineStr">
        <is>
          <t>discount_rate</t>
        </is>
      </c>
      <c r="F25" s="6" t="inlineStr">
        <is>
          <t>Locked-in or current rate</t>
        </is>
      </c>
    </row>
    <row r="26" ht="22" customHeight="1">
      <c r="A26" s="5" t="inlineStr">
        <is>
          <t>Field</t>
        </is>
      </c>
      <c r="B26" s="14" t="inlineStr">
        <is>
          <t>assumption_change_impact</t>
        </is>
      </c>
      <c r="C26" s="32" t="inlineStr">
        <is>
          <t>status: TBI</t>
        </is>
      </c>
      <c r="D26" s="6" t="inlineStr">
        <is>
          <t>Source</t>
        </is>
      </c>
      <c r="E26" s="14" t="inlineStr">
        <is>
          <t>N/A</t>
        </is>
      </c>
      <c r="F26" s="15" t="inlineStr">
        <is>
          <t>Quantification method not finalised</t>
        </is>
      </c>
    </row>
    <row r="27" ht="22" customHeight="1">
      <c r="A27" s="5" t="inlineStr">
        <is>
          <t>Field</t>
        </is>
      </c>
      <c r="B27" s="13" t="inlineStr">
        <is>
          <t>reinsurance_offset</t>
        </is>
      </c>
      <c r="C27" s="30" t="inlineStr">
        <is>
          <t>status: TBI</t>
        </is>
      </c>
      <c r="D27" s="6" t="inlineStr">
        <is>
          <t>Source</t>
        </is>
      </c>
      <c r="E27" s="13" t="inlineStr">
        <is>
          <t>N/A</t>
        </is>
      </c>
      <c r="F27" s="6" t="inlineStr">
        <is>
          <t>Reinsurance held asset mapping pending</t>
        </is>
      </c>
    </row>
    <row r="28" ht="22" customHeight="1">
      <c r="A28" s="5" t="inlineStr">
        <is>
          <t>Field</t>
        </is>
      </c>
      <c r="B28" s="14" t="inlineStr">
        <is>
          <t>solvency_ii_scr</t>
        </is>
      </c>
      <c r="C28" s="32" t="inlineStr">
        <is>
          <t>status: Gap</t>
        </is>
      </c>
      <c r="D28" s="6" t="inlineStr">
        <is>
          <t>Source</t>
        </is>
      </c>
      <c r="E28" s="14" t="inlineStr">
        <is>
          <t>N/A</t>
        </is>
      </c>
      <c r="F28" s="15" t="inlineStr">
        <is>
          <t>Parallel run interface not built</t>
        </is>
      </c>
    </row>
    <row r="29" ht="22" customHeight="1">
      <c r="A29" s="5" t="inlineStr">
        <is>
          <t>Field</t>
        </is>
      </c>
      <c r="B29" s="13" t="inlineStr">
        <is>
          <t>embedded_value_bridge</t>
        </is>
      </c>
      <c r="C29" s="30" t="inlineStr">
        <is>
          <t>status: Gap</t>
        </is>
      </c>
      <c r="D29" s="6" t="inlineStr">
        <is>
          <t>Source</t>
        </is>
      </c>
      <c r="E29" s="13" t="inlineStr">
        <is>
          <t>N/A</t>
        </is>
      </c>
      <c r="F29" s="6" t="inlineStr">
        <is>
          <t>No automated EV-to-IFRS17 reconciliation</t>
        </is>
      </c>
    </row>
  </sheetData>
  <autoFilter ref="A4:F29"/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F766E"/>
    <outlinePr summaryBelow="1" summaryRight="1"/>
    <pageSetUpPr/>
  </sheetPr>
  <dimension ref="A1:H13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35" t="inlineStr">
        <is>
          <t>RACI Matrix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36" t="inlineStr">
        <is>
          <t>R = Responsible (does the work)  |  A = Accountable (owns the outcome)  |  C = Consulted (provides input)  |  I = Informed (kept updated)</t>
        </is>
      </c>
      <c r="B2" s="2" t="n"/>
      <c r="C2" s="2" t="n"/>
      <c r="D2" s="2" t="n"/>
      <c r="E2" s="2" t="n"/>
      <c r="F2" s="2" t="n"/>
      <c r="G2" s="2" t="n"/>
      <c r="H2" s="3" t="n"/>
    </row>
    <row r="4" ht="32" customHeight="1">
      <c r="A4" s="12" t="inlineStr">
        <is>
          <t>Deliverable / Activity</t>
        </is>
      </c>
      <c r="B4" s="12" t="inlineStr">
        <is>
          <t>Chief Actuary</t>
        </is>
      </c>
      <c r="C4" s="12" t="inlineStr">
        <is>
          <t>Finance Controller</t>
        </is>
      </c>
      <c r="D4" s="12" t="inlineStr">
        <is>
          <t>Claims Handler</t>
        </is>
      </c>
      <c r="E4" s="12" t="inlineStr">
        <is>
          <t>Actuarial Engine</t>
        </is>
      </c>
      <c r="F4" s="12" t="inlineStr">
        <is>
          <t>GL / Subledger</t>
        </is>
      </c>
      <c r="G4" s="12" t="inlineStr">
        <is>
          <t>Solvency II Engine</t>
        </is>
      </c>
      <c r="H4" s="12" t="inlineStr">
        <is>
          <t>Close Scheduler</t>
        </is>
      </c>
    </row>
    <row r="5">
      <c r="A5" s="11" t="inlineStr">
        <is>
          <t>IFRS 17 measurement models</t>
        </is>
      </c>
      <c r="B5" s="37" t="inlineStr">
        <is>
          <t>A</t>
        </is>
      </c>
      <c r="C5" s="38" t="inlineStr"/>
      <c r="D5" s="38" t="inlineStr"/>
      <c r="E5" s="39" t="inlineStr">
        <is>
          <t>R</t>
        </is>
      </c>
      <c r="F5" s="38" t="inlineStr"/>
      <c r="G5" s="38" t="inlineStr"/>
      <c r="H5" s="38" t="inlineStr"/>
    </row>
    <row r="6">
      <c r="A6" s="40" t="inlineStr">
        <is>
          <t>CSM amortisation engine</t>
        </is>
      </c>
      <c r="B6" s="37" t="inlineStr">
        <is>
          <t>A</t>
        </is>
      </c>
      <c r="C6" s="41" t="inlineStr">
        <is>
          <t>C</t>
        </is>
      </c>
      <c r="D6" s="38" t="inlineStr"/>
      <c r="E6" s="39" t="inlineStr">
        <is>
          <t>R</t>
        </is>
      </c>
      <c r="F6" s="38" t="inlineStr"/>
      <c r="G6" s="38" t="inlineStr"/>
      <c r="H6" s="38" t="inlineStr"/>
    </row>
    <row r="7">
      <c r="A7" s="11" t="inlineStr">
        <is>
          <t>Assumption governance</t>
        </is>
      </c>
      <c r="B7" s="39" t="inlineStr">
        <is>
          <t>R</t>
        </is>
      </c>
      <c r="C7" s="37" t="inlineStr">
        <is>
          <t>A</t>
        </is>
      </c>
      <c r="D7" s="38" t="inlineStr"/>
      <c r="E7" s="38" t="inlineStr"/>
      <c r="F7" s="38" t="inlineStr"/>
      <c r="G7" s="38" t="inlineStr"/>
      <c r="H7" s="38" t="inlineStr"/>
    </row>
    <row r="8">
      <c r="A8" s="40" t="inlineStr">
        <is>
          <t>Onerous contract testing</t>
        </is>
      </c>
      <c r="B8" s="39" t="inlineStr">
        <is>
          <t>R</t>
        </is>
      </c>
      <c r="C8" s="37" t="inlineStr">
        <is>
          <t>A</t>
        </is>
      </c>
      <c r="D8" s="38" t="inlineStr"/>
      <c r="E8" s="39" t="inlineStr">
        <is>
          <t>R</t>
        </is>
      </c>
      <c r="F8" s="38" t="inlineStr"/>
      <c r="G8" s="38" t="inlineStr"/>
      <c r="H8" s="38" t="inlineStr"/>
    </row>
    <row r="9">
      <c r="A9" s="11" t="inlineStr">
        <is>
          <t>GL journal generation</t>
        </is>
      </c>
      <c r="B9" s="38" t="inlineStr"/>
      <c r="C9" s="37" t="inlineStr">
        <is>
          <t>A</t>
        </is>
      </c>
      <c r="D9" s="38" t="inlineStr"/>
      <c r="E9" s="39" t="inlineStr">
        <is>
          <t>R</t>
        </is>
      </c>
      <c r="F9" s="39" t="inlineStr">
        <is>
          <t>R</t>
        </is>
      </c>
      <c r="G9" s="38" t="inlineStr"/>
      <c r="H9" s="38" t="inlineStr"/>
    </row>
    <row r="10">
      <c r="A10" s="40" t="inlineStr">
        <is>
          <t>Disclosure pack</t>
        </is>
      </c>
      <c r="B10" s="41" t="inlineStr">
        <is>
          <t>C</t>
        </is>
      </c>
      <c r="C10" s="39" t="inlineStr">
        <is>
          <t>R</t>
        </is>
      </c>
      <c r="D10" s="38" t="inlineStr"/>
      <c r="E10" s="38" t="inlineStr"/>
      <c r="F10" s="38" t="inlineStr"/>
      <c r="G10" s="38" t="inlineStr"/>
      <c r="H10" s="38" t="inlineStr"/>
    </row>
    <row r="11">
      <c r="A11" s="11" t="inlineStr">
        <is>
          <t>Solvency II parallel run</t>
        </is>
      </c>
      <c r="B11" s="41" t="inlineStr">
        <is>
          <t>C</t>
        </is>
      </c>
      <c r="C11" s="37" t="inlineStr">
        <is>
          <t>A</t>
        </is>
      </c>
      <c r="D11" s="38" t="inlineStr"/>
      <c r="E11" s="38" t="inlineStr"/>
      <c r="F11" s="38" t="inlineStr"/>
      <c r="G11" s="39" t="inlineStr">
        <is>
          <t>R</t>
        </is>
      </c>
      <c r="H11" s="38" t="inlineStr"/>
    </row>
    <row r="12">
      <c r="A12" s="40" t="inlineStr">
        <is>
          <t>UAT execution</t>
        </is>
      </c>
      <c r="B12" s="39" t="inlineStr">
        <is>
          <t>R</t>
        </is>
      </c>
      <c r="C12" s="39" t="inlineStr">
        <is>
          <t>R</t>
        </is>
      </c>
      <c r="D12" s="39" t="inlineStr">
        <is>
          <t>R</t>
        </is>
      </c>
      <c r="E12" s="38" t="inlineStr"/>
      <c r="F12" s="38" t="inlineStr"/>
      <c r="G12" s="38" t="inlineStr"/>
      <c r="H12" s="38" t="inlineStr"/>
    </row>
    <row r="13">
      <c r="A13" s="11" t="inlineStr">
        <is>
          <t>Quarter-end close process</t>
        </is>
      </c>
      <c r="B13" s="41" t="inlineStr">
        <is>
          <t>C</t>
        </is>
      </c>
      <c r="C13" s="37" t="inlineStr">
        <is>
          <t>A</t>
        </is>
      </c>
      <c r="D13" s="38" t="inlineStr"/>
      <c r="E13" s="38" t="inlineStr"/>
      <c r="F13" s="38" t="inlineStr"/>
      <c r="G13" s="38" t="inlineStr"/>
      <c r="H13" s="39" t="inlineStr">
        <is>
          <t>R</t>
        </is>
      </c>
    </row>
  </sheetData>
  <autoFilter ref="A4:H13"/>
  <mergeCells count="2">
    <mergeCell ref="A2:H2"/>
    <mergeCell ref="A1:H1"/>
  </mergeCells>
  <dataValidations count="7">
    <dataValidation sqref="B5:B13" showDropDown="0" showInputMessage="0" showErrorMessage="0" allowBlank="1" error="Select a valid option" type="list">
      <formula1>"R,A,C,I,"</formula1>
    </dataValidation>
    <dataValidation sqref="C5:C13" showDropDown="0" showInputMessage="0" showErrorMessage="0" allowBlank="1" error="Select a valid option" type="list">
      <formula1>"R,A,C,I,"</formula1>
    </dataValidation>
    <dataValidation sqref="D5:D13" showDropDown="0" showInputMessage="0" showErrorMessage="0" allowBlank="1" error="Select a valid option" type="list">
      <formula1>"R,A,C,I,"</formula1>
    </dataValidation>
    <dataValidation sqref="E5:E13" showDropDown="0" showInputMessage="0" showErrorMessage="0" allowBlank="1" error="Select a valid option" type="list">
      <formula1>"R,A,C,I,"</formula1>
    </dataValidation>
    <dataValidation sqref="F5:F13" showDropDown="0" showInputMessage="0" showErrorMessage="0" allowBlank="1" error="Select a valid option" type="list">
      <formula1>"R,A,C,I,"</formula1>
    </dataValidation>
    <dataValidation sqref="G5:G13" showDropDown="0" showInputMessage="0" showErrorMessage="0" allowBlank="1" error="Select a valid option" type="list">
      <formula1>"R,A,C,I,"</formula1>
    </dataValidation>
    <dataValidation sqref="H5:H13" showDropDown="0" showInputMessage="0" showErrorMessage="0" allowBlank="1" error="Select a valid option" type="list">
      <formula1>"R,A,C,I,"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91B1B"/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4" customWidth="1" min="4" max="4"/>
    <col width="14" customWidth="1" min="5" max="5"/>
    <col width="8" customWidth="1" min="6" max="6"/>
    <col width="45" customWidth="1" min="7" max="7"/>
    <col width="18" customWidth="1" min="8" max="8"/>
    <col width="12" customWidth="1" min="9" max="9"/>
    <col width="12" customWidth="1" min="10" max="10"/>
  </cols>
  <sheetData>
    <row r="1" ht="28" customHeight="1">
      <c r="A1" s="35" t="inlineStr">
        <is>
          <t>Risk Register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3" ht="32" customHeight="1">
      <c r="A3" s="42" t="inlineStr">
        <is>
          <t>Risk ID</t>
        </is>
      </c>
      <c r="B3" s="42" t="inlineStr">
        <is>
          <t>Description</t>
        </is>
      </c>
      <c r="C3" s="42" t="inlineStr">
        <is>
          <t>Category</t>
        </is>
      </c>
      <c r="D3" s="42" t="inlineStr">
        <is>
          <t>Probability (1-5)</t>
        </is>
      </c>
      <c r="E3" s="42" t="inlineStr">
        <is>
          <t>Impact (1-5)</t>
        </is>
      </c>
      <c r="F3" s="42" t="inlineStr">
        <is>
          <t>Score</t>
        </is>
      </c>
      <c r="G3" s="42" t="inlineStr">
        <is>
          <t>Mitigation</t>
        </is>
      </c>
      <c r="H3" s="42" t="inlineStr">
        <is>
          <t>Owner</t>
        </is>
      </c>
      <c r="I3" s="42" t="inlineStr">
        <is>
          <t>Status</t>
        </is>
      </c>
      <c r="J3" s="42" t="inlineStr">
        <is>
          <t>Linked REQ</t>
        </is>
      </c>
    </row>
    <row r="4">
      <c r="A4" s="13" t="inlineStr">
        <is>
          <t>RSK-001</t>
        </is>
      </c>
      <c r="B4" s="6" t="inlineStr">
        <is>
          <t>Actuarial assumption changes between quarters cause material CSM movements that auditors challenge</t>
        </is>
      </c>
      <c r="C4" s="6" t="inlineStr">
        <is>
          <t>Financial</t>
        </is>
      </c>
      <c r="D4" s="38" t="n">
        <v>4</v>
      </c>
      <c r="E4" s="38" t="n">
        <v>4</v>
      </c>
      <c r="F4" s="43">
        <f>D4*E4</f>
        <v/>
      </c>
      <c r="G4" s="6" t="inlineStr">
        <is>
          <t>Document assumption change protocol. Pre-agree materiality thresholds with auditor. Quarterly review board.</t>
        </is>
      </c>
      <c r="H4" s="6" t="inlineStr">
        <is>
          <t>Chief Actuary</t>
        </is>
      </c>
      <c r="I4" s="6" t="inlineStr">
        <is>
          <t>Mitigating</t>
        </is>
      </c>
      <c r="J4" s="13" t="inlineStr">
        <is>
          <t>REQ-003</t>
        </is>
      </c>
    </row>
    <row r="5">
      <c r="A5" s="14" t="inlineStr">
        <is>
          <t>RSK-002</t>
        </is>
      </c>
      <c r="B5" s="15" t="inlineStr">
        <is>
          <t>Solvency II parallel run interface delays block IFRS 17 go-live</t>
        </is>
      </c>
      <c r="C5" s="15" t="inlineStr">
        <is>
          <t>Integration</t>
        </is>
      </c>
      <c r="D5" s="44" t="n">
        <v>3</v>
      </c>
      <c r="E5" s="44" t="n">
        <v>4</v>
      </c>
      <c r="F5" s="45">
        <f>D5*E5</f>
        <v/>
      </c>
      <c r="G5" s="15" t="inlineStr">
        <is>
          <t>Decouple timelines. IFRS 17 can go live without SII parallel run. Manual reconciliation as interim.</t>
        </is>
      </c>
      <c r="H5" s="15" t="inlineStr">
        <is>
          <t>Finance Controller</t>
        </is>
      </c>
      <c r="I5" s="15" t="inlineStr">
        <is>
          <t>Open</t>
        </is>
      </c>
      <c r="J5" s="14" t="inlineStr"/>
    </row>
    <row r="6">
      <c r="A6" s="13" t="inlineStr">
        <is>
          <t>RSK-003</t>
        </is>
      </c>
      <c r="B6" s="6" t="inlineStr">
        <is>
          <t>Coverage unit methodology not accepted by auditor for CSM amortisation pattern</t>
        </is>
      </c>
      <c r="C6" s="6" t="inlineStr">
        <is>
          <t>Regulatory</t>
        </is>
      </c>
      <c r="D6" s="38" t="n">
        <v>3</v>
      </c>
      <c r="E6" s="38" t="n">
        <v>5</v>
      </c>
      <c r="F6" s="43">
        <f>D6*E6</f>
        <v/>
      </c>
      <c r="G6" s="6" t="inlineStr">
        <is>
          <t>Pre-clear methodology with auditor. Prepare passage-of-time fallback. Document both approaches.</t>
        </is>
      </c>
      <c r="H6" s="6" t="inlineStr">
        <is>
          <t>Chief Actuary</t>
        </is>
      </c>
      <c r="I6" s="6" t="inlineStr">
        <is>
          <t>Open</t>
        </is>
      </c>
      <c r="J6" s="13" t="inlineStr">
        <is>
          <t>REQ-002</t>
        </is>
      </c>
    </row>
    <row r="7">
      <c r="A7" s="14" t="inlineStr">
        <is>
          <t>RSK-004</t>
        </is>
      </c>
      <c r="B7" s="15" t="inlineStr">
        <is>
          <t>Embedded Value to IFRS 17 bridge reconciliation cannot be automated</t>
        </is>
      </c>
      <c r="C7" s="15" t="inlineStr">
        <is>
          <t>Technical</t>
        </is>
      </c>
      <c r="D7" s="44" t="n">
        <v>4</v>
      </c>
      <c r="E7" s="44" t="n">
        <v>3</v>
      </c>
      <c r="F7" s="45">
        <f>D7*E7</f>
        <v/>
      </c>
      <c r="G7" s="15" t="inlineStr">
        <is>
          <t>Accept manual reconciliation for first 2 quarters. Build automated bridge in phase 2.</t>
        </is>
      </c>
      <c r="H7" s="15" t="inlineStr">
        <is>
          <t>Finance Controller</t>
        </is>
      </c>
      <c r="I7" s="15" t="inlineStr">
        <is>
          <t>Accepted</t>
        </is>
      </c>
      <c r="J7" s="14" t="inlineStr"/>
    </row>
  </sheetData>
  <autoFilter ref="A3:J7"/>
  <mergeCells count="1">
    <mergeCell ref="A1:J1"/>
  </mergeCells>
  <conditionalFormatting sqref="F4:F7">
    <cfRule type="cellIs" priority="1" operator="greaterThanOrEqual" dxfId="3">
      <formula>15</formula>
    </cfRule>
    <cfRule type="cellIs" priority="2" operator="between" dxfId="0">
      <formula>8</formula>
      <formula>14</formula>
    </cfRule>
    <cfRule type="cellIs" priority="3" operator="lessThanOrEqual" dxfId="1">
      <formula>7</formula>
    </cfRule>
  </conditionalFormatting>
  <dataValidations count="2">
    <dataValidation sqref="C4:C7" showDropDown="0" showInputMessage="0" showErrorMessage="0" allowBlank="1" error="Select a valid option" type="list">
      <formula1>"Technical,Operational,Regulatory,Financial,Organisational,External,Data Quality,Integration"</formula1>
    </dataValidation>
    <dataValidation sqref="I4:I7" showDropDown="0" showInputMessage="0" showErrorMessage="0" allowBlank="1" error="Select a valid option" type="list">
      <formula1>"Open,Mitigating,Accepted,Closed,Escalated"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C3AED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5" customWidth="1" min="3" max="3"/>
    <col width="18" customWidth="1" min="4" max="4"/>
    <col width="16" customWidth="1" min="5" max="5"/>
    <col width="30" customWidth="1" min="6" max="6"/>
    <col width="10" customWidth="1" min="7" max="7"/>
    <col width="12" customWidth="1" min="8" max="8"/>
  </cols>
  <sheetData>
    <row r="1" ht="28" customHeight="1">
      <c r="A1" s="35" t="inlineStr">
        <is>
          <t>Non-Functional Requirements</t>
        </is>
      </c>
      <c r="B1" s="2" t="n"/>
      <c r="C1" s="2" t="n"/>
      <c r="D1" s="2" t="n"/>
      <c r="E1" s="2" t="n"/>
      <c r="F1" s="2" t="n"/>
      <c r="G1" s="2" t="n"/>
      <c r="H1" s="3" t="n"/>
    </row>
    <row r="3" ht="32" customHeight="1">
      <c r="A3" s="46" t="inlineStr">
        <is>
          <t>NFR ID</t>
        </is>
      </c>
      <c r="B3" s="46" t="inlineStr">
        <is>
          <t>Category</t>
        </is>
      </c>
      <c r="C3" s="46" t="inlineStr">
        <is>
          <t>Requirement</t>
        </is>
      </c>
      <c r="D3" s="46" t="inlineStr">
        <is>
          <t>Metric</t>
        </is>
      </c>
      <c r="E3" s="46" t="inlineStr">
        <is>
          <t>Target</t>
        </is>
      </c>
      <c r="F3" s="46" t="inlineStr">
        <is>
          <t>Measurement Method</t>
        </is>
      </c>
      <c r="G3" s="46" t="inlineStr">
        <is>
          <t>Priority</t>
        </is>
      </c>
      <c r="H3" s="46" t="inlineStr">
        <is>
          <t>Linked Entity</t>
        </is>
      </c>
    </row>
    <row r="4">
      <c r="A4" s="13" t="inlineStr">
        <is>
          <t>NFR-001</t>
        </is>
      </c>
      <c r="B4" s="6" t="inlineStr">
        <is>
          <t>Performance</t>
        </is>
      </c>
      <c r="C4" s="6" t="inlineStr">
        <is>
          <t>Quarterly actuarial run for full portfolio must complete within 4-hour batch window</t>
        </is>
      </c>
      <c r="D4" s="6" t="inlineStr">
        <is>
          <t>Batch duration</t>
        </is>
      </c>
      <c r="E4" s="6" t="inlineStr">
        <is>
          <t>&lt; 4 hours</t>
        </is>
      </c>
      <c r="F4" s="6" t="inlineStr">
        <is>
          <t>Timed test run on full production data. Parallel processing benchmark.</t>
        </is>
      </c>
      <c r="G4" s="38" t="inlineStr">
        <is>
          <t>Critical</t>
        </is>
      </c>
      <c r="H4" s="13" t="inlineStr">
        <is>
          <t>Contract Group</t>
        </is>
      </c>
    </row>
    <row r="5">
      <c r="A5" s="14" t="inlineStr">
        <is>
          <t>NFR-002</t>
        </is>
      </c>
      <c r="B5" s="15" t="inlineStr">
        <is>
          <t>Availability</t>
        </is>
      </c>
      <c r="C5" s="15" t="inlineStr">
        <is>
          <t>Actuarial engine must be available for ad-hoc reruns within 2 hours of request during close period</t>
        </is>
      </c>
      <c r="D5" s="15" t="inlineStr">
        <is>
          <t>Recovery time</t>
        </is>
      </c>
      <c r="E5" s="15" t="inlineStr">
        <is>
          <t>&lt; 2h restart</t>
        </is>
      </c>
      <c r="F5" s="15" t="inlineStr">
        <is>
          <t>Warm standby. Pre-configured rerun scripts.</t>
        </is>
      </c>
      <c r="G5" s="44" t="inlineStr">
        <is>
          <t>High</t>
        </is>
      </c>
      <c r="H5" s="15" t="inlineStr"/>
    </row>
    <row r="6">
      <c r="A6" s="13" t="inlineStr">
        <is>
          <t>NFR-003</t>
        </is>
      </c>
      <c r="B6" s="6" t="inlineStr">
        <is>
          <t>Compliance</t>
        </is>
      </c>
      <c r="C6" s="6" t="inlineStr">
        <is>
          <t>All CSM movements must be traceable to specific assumption or experience changes for audit</t>
        </is>
      </c>
      <c r="D6" s="6" t="inlineStr">
        <is>
          <t>Traceability completeness</t>
        </is>
      </c>
      <c r="E6" s="6" t="inlineStr">
        <is>
          <t>100% of CSM deltas explained</t>
        </is>
      </c>
      <c r="F6" s="6" t="inlineStr">
        <is>
          <t>Waterfall decomposition report. Audit sample testing.</t>
        </is>
      </c>
      <c r="G6" s="38" t="inlineStr">
        <is>
          <t>Critical</t>
        </is>
      </c>
      <c r="H6" s="13" t="inlineStr">
        <is>
          <t>Contract Group</t>
        </is>
      </c>
    </row>
  </sheetData>
  <autoFilter ref="A3:H6"/>
  <mergeCells count="1">
    <mergeCell ref="A1:H1"/>
  </mergeCells>
  <conditionalFormatting sqref="G4:G6">
    <cfRule type="cellIs" priority="1" operator="equal" dxfId="3">
      <formula>"Critical"</formula>
    </cfRule>
    <cfRule type="cellIs" priority="2" operator="equal" dxfId="0">
      <formula>"High"</formula>
    </cfRule>
  </conditionalFormatting>
  <dataValidations count="2">
    <dataValidation sqref="B4:B6" showDropDown="0" showInputMessage="0" showErrorMessage="0" allowBlank="1" error="Select a valid option" type="list">
      <formula1>"Performance,Availability,Security,Scalability,Disaster Recovery,Usability,Maintainability,Compliance"</formula1>
    </dataValidation>
    <dataValidation sqref="G4:G6" showDropDown="0" showInputMessage="0" showErrorMessage="0" allowBlank="1" error="Select a valid option" type="list">
      <formula1>"Critical,High,Medium,Low"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34155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40" customWidth="1" min="4" max="4"/>
    <col width="12" customWidth="1" min="5" max="5"/>
    <col width="18" customWidth="1" min="6" max="6"/>
    <col width="12" customWidth="1" min="7" max="7"/>
    <col width="10" customWidth="1" min="8" max="8"/>
  </cols>
  <sheetData>
    <row r="1" ht="28" customHeight="1">
      <c r="A1" s="35" t="inlineStr">
        <is>
          <t>Assumptions &amp; Dependencies</t>
        </is>
      </c>
      <c r="B1" s="2" t="n"/>
      <c r="C1" s="2" t="n"/>
      <c r="D1" s="2" t="n"/>
      <c r="E1" s="2" t="n"/>
      <c r="F1" s="2" t="n"/>
      <c r="G1" s="2" t="n"/>
      <c r="H1" s="3" t="n"/>
    </row>
    <row r="3" ht="32" customHeight="1">
      <c r="A3" s="47" t="inlineStr">
        <is>
          <t>ID</t>
        </is>
      </c>
      <c r="B3" s="47" t="inlineStr">
        <is>
          <t>Type</t>
        </is>
      </c>
      <c r="C3" s="47" t="inlineStr">
        <is>
          <t>Description</t>
        </is>
      </c>
      <c r="D3" s="47" t="inlineStr">
        <is>
          <t>Impact if Wrong</t>
        </is>
      </c>
      <c r="E3" s="47" t="inlineStr">
        <is>
          <t>Validated</t>
        </is>
      </c>
      <c r="F3" s="47" t="inlineStr">
        <is>
          <t>Owner</t>
        </is>
      </c>
      <c r="G3" s="47" t="inlineStr">
        <is>
          <t>Date</t>
        </is>
      </c>
      <c r="H3" s="47" t="inlineStr">
        <is>
          <t>Linked Risk</t>
        </is>
      </c>
    </row>
    <row r="4">
      <c r="A4" s="13" t="inlineStr">
        <is>
          <t>A-001</t>
        </is>
      </c>
      <c r="B4" s="6" t="inlineStr">
        <is>
          <t>Assumption</t>
        </is>
      </c>
      <c r="C4" s="6" t="inlineStr">
        <is>
          <t>Auditor will accept coverage unit approach (not passage-of-time) for CSM amortisation</t>
        </is>
      </c>
      <c r="D4" s="6" t="inlineStr">
        <is>
          <t>If rejected: entire CSM engine logic must be reworked. 8-12 week delay.</t>
        </is>
      </c>
      <c r="E4" s="48" t="inlineStr">
        <is>
          <t>Pending</t>
        </is>
      </c>
      <c r="F4" s="6" t="inlineStr">
        <is>
          <t>Chief Actuary</t>
        </is>
      </c>
      <c r="G4" s="6" t="inlineStr">
        <is>
          <t>2026-02-01</t>
        </is>
      </c>
      <c r="H4" s="13" t="inlineStr">
        <is>
          <t>RSK-003</t>
        </is>
      </c>
    </row>
    <row r="5">
      <c r="A5" s="14" t="inlineStr">
        <is>
          <t>A-002</t>
        </is>
      </c>
      <c r="B5" s="15" t="inlineStr">
        <is>
          <t>Dependency</t>
        </is>
      </c>
      <c r="C5" s="15" t="inlineStr">
        <is>
          <t>Prophet actuarial model outputs must be available in IFRS 17-compatible format by Q2 2026</t>
        </is>
      </c>
      <c r="D5" s="15" t="inlineStr">
        <is>
          <t>If format changes: ETL pipeline rebuild. 4-6 weeks delay.</t>
        </is>
      </c>
      <c r="E5" s="48" t="inlineStr">
        <is>
          <t>Pending</t>
        </is>
      </c>
      <c r="F5" s="15" t="inlineStr">
        <is>
          <t>Actuarial IT</t>
        </is>
      </c>
      <c r="G5" s="15" t="inlineStr">
        <is>
          <t>2026-01-15</t>
        </is>
      </c>
      <c r="H5" s="15" t="inlineStr"/>
    </row>
    <row r="6">
      <c r="A6" s="13" t="inlineStr">
        <is>
          <t>A-003</t>
        </is>
      </c>
      <c r="B6" s="6" t="inlineStr">
        <is>
          <t>Constraint</t>
        </is>
      </c>
      <c r="C6" s="6" t="inlineStr">
        <is>
          <t>Existing GL chart of accounts cannot be modified — IFRS 17 journals must map to current structure</t>
        </is>
      </c>
      <c r="D6" s="6" t="inlineStr">
        <is>
          <t>May require sub-account layer. Adds complexity to journal generation.</t>
        </is>
      </c>
      <c r="E6" s="49" t="inlineStr">
        <is>
          <t>Yes</t>
        </is>
      </c>
      <c r="F6" s="6" t="inlineStr">
        <is>
          <t>Finance Controller</t>
        </is>
      </c>
      <c r="G6" s="6" t="inlineStr">
        <is>
          <t>2025-12-20</t>
        </is>
      </c>
      <c r="H6" s="6" t="inlineStr"/>
    </row>
  </sheetData>
  <autoFilter ref="A3:H6"/>
  <mergeCells count="1">
    <mergeCell ref="A1:H1"/>
  </mergeCells>
  <dataValidations count="2">
    <dataValidation sqref="B4:B6" showDropDown="0" showInputMessage="0" showErrorMessage="0" allowBlank="1" error="Select a valid option" type="list">
      <formula1>"Assumption,Dependency,Constraint"</formula1>
    </dataValidation>
    <dataValidation sqref="E4:E6" showDropDown="0" showInputMessage="0" showErrorMessage="0" allowBlank="1" error="Select a valid option" type="list">
      <formula1>"Yes,No,Pending"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F172A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45" customWidth="1" min="3" max="3"/>
    <col width="35" customWidth="1" min="4" max="4"/>
    <col width="18" customWidth="1" min="5" max="5"/>
    <col width="12" customWidth="1" min="6" max="6"/>
    <col width="12" customWidth="1" min="7" max="7"/>
    <col width="14" customWidth="1" min="8" max="8"/>
  </cols>
  <sheetData>
    <row r="1" ht="28" customHeight="1">
      <c r="A1" s="35" t="inlineStr">
        <is>
          <t>Decision Log</t>
        </is>
      </c>
      <c r="B1" s="2" t="n"/>
      <c r="C1" s="2" t="n"/>
      <c r="D1" s="2" t="n"/>
      <c r="E1" s="2" t="n"/>
      <c r="F1" s="2" t="n"/>
      <c r="G1" s="2" t="n"/>
      <c r="H1" s="3" t="n"/>
    </row>
    <row r="3" ht="32" customHeight="1">
      <c r="A3" s="27" t="inlineStr">
        <is>
          <t>ID</t>
        </is>
      </c>
      <c r="B3" s="27" t="inlineStr">
        <is>
          <t>Decision</t>
        </is>
      </c>
      <c r="C3" s="27" t="inlineStr">
        <is>
          <t>Rationale</t>
        </is>
      </c>
      <c r="D3" s="27" t="inlineStr">
        <is>
          <t>Alternatives Considered</t>
        </is>
      </c>
      <c r="E3" s="27" t="inlineStr">
        <is>
          <t>Decided By</t>
        </is>
      </c>
      <c r="F3" s="27" t="inlineStr">
        <is>
          <t>Date</t>
        </is>
      </c>
      <c r="G3" s="27" t="inlineStr">
        <is>
          <t>Status</t>
        </is>
      </c>
      <c r="H3" s="27" t="inlineStr">
        <is>
          <t>Linked REQ/BR</t>
        </is>
      </c>
    </row>
    <row r="4">
      <c r="A4" s="13" t="inlineStr">
        <is>
          <t>DEC-001</t>
        </is>
      </c>
      <c r="B4" s="6" t="inlineStr">
        <is>
          <t>Use General Measurement Model (GMM) for all long-duration contracts, PAA for short-tail only</t>
        </is>
      </c>
      <c r="C4" s="6" t="inlineStr">
        <is>
          <t>GMM provides full CSM tracking. PAA simplification only appropriate for &lt;12 month coverage.</t>
        </is>
      </c>
      <c r="D4" s="6" t="inlineStr">
        <is>
          <t>1. PAA for all (non-compliant for long-tail). 2. VFA for participating (not applicable to non-life).</t>
        </is>
      </c>
      <c r="E4" s="6" t="inlineStr">
        <is>
          <t>Chief Actuary + Auditor</t>
        </is>
      </c>
      <c r="F4" s="6" t="inlineStr">
        <is>
          <t>2025-11-15</t>
        </is>
      </c>
      <c r="G4" s="38" t="inlineStr">
        <is>
          <t>Approved</t>
        </is>
      </c>
      <c r="H4" s="13" t="inlineStr">
        <is>
          <t>BR001, BR002</t>
        </is>
      </c>
    </row>
    <row r="5">
      <c r="A5" s="14" t="inlineStr">
        <is>
          <t>DEC-002</t>
        </is>
      </c>
      <c r="B5" s="15" t="inlineStr">
        <is>
          <t>Use bottom-up approach for discount rate construction</t>
        </is>
      </c>
      <c r="C5" s="15" t="inlineStr">
        <is>
          <t>More transparent than top-down. Risk-free yield curve + illiquidity premium. Auditor preference.</t>
        </is>
      </c>
      <c r="D5" s="15" t="inlineStr">
        <is>
          <t>1. Top-down (deduct credit spread from asset yield). 2. OCI option (reduces P&amp;L volatility but adds complexity).</t>
        </is>
      </c>
      <c r="E5" s="15" t="inlineStr">
        <is>
          <t>Chief Actuary</t>
        </is>
      </c>
      <c r="F5" s="15" t="inlineStr">
        <is>
          <t>2025-12-01</t>
        </is>
      </c>
      <c r="G5" s="44" t="inlineStr">
        <is>
          <t>Approved</t>
        </is>
      </c>
      <c r="H5" s="14" t="inlineStr">
        <is>
          <t>BR006, REQ-005</t>
        </is>
      </c>
    </row>
  </sheetData>
  <autoFilter ref="A3:H5"/>
  <mergeCells count="1">
    <mergeCell ref="A1:H1"/>
  </mergeCells>
  <conditionalFormatting sqref="G4:G5">
    <cfRule type="cellIs" priority="1" operator="equal" dxfId="1">
      <formula>"Approved"</formula>
    </cfRule>
    <cfRule type="cellIs" priority="2" operator="equal" dxfId="0">
      <formula>"Proposed"</formula>
    </cfRule>
  </conditionalFormatting>
  <dataValidations count="1">
    <dataValidation sqref="G4:G5" showDropDown="0" showInputMessage="0" showErrorMessage="0" allowBlank="1" error="Select a valid option" type="list">
      <formula1>"Proposed,Approved,Implemented,Superseded,Deferred"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369A1"/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22" customWidth="1" min="9" max="9"/>
  </cols>
  <sheetData>
    <row r="1" ht="28" customHeight="1">
      <c r="A1" s="35" t="inlineStr">
        <is>
          <t>Data Volume &amp; Sizing Estimates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3" ht="32" customHeight="1">
      <c r="A3" s="23" t="inlineStr">
        <is>
          <t>Entity</t>
        </is>
      </c>
      <c r="B3" s="23" t="inlineStr">
        <is>
          <t>Current Rows</t>
        </is>
      </c>
      <c r="C3" s="23" t="inlineStr">
        <is>
          <t>Annual Growth %</t>
        </is>
      </c>
      <c r="D3" s="23" t="inlineStr">
        <is>
          <t>Projected at Go-Live</t>
        </is>
      </c>
      <c r="E3" s="23" t="inlineStr">
        <is>
          <t>Peak Concurrent Users</t>
        </is>
      </c>
      <c r="F3" s="23" t="inlineStr">
        <is>
          <t>API Calls/Min (Peak)</t>
        </is>
      </c>
      <c r="G3" s="23" t="inlineStr">
        <is>
          <t>Avg Record Size (KB)</t>
        </is>
      </c>
      <c r="H3" s="23" t="inlineStr">
        <is>
          <t>Total Storage (GB)</t>
        </is>
      </c>
      <c r="I3" s="23" t="inlineStr">
        <is>
          <t>SLA Target</t>
        </is>
      </c>
    </row>
    <row r="4">
      <c r="A4" s="11" t="inlineStr">
        <is>
          <t>Insurance Contract Groups</t>
        </is>
      </c>
      <c r="B4" s="38" t="n">
        <v>450</v>
      </c>
      <c r="C4" s="38" t="n">
        <v>8</v>
      </c>
      <c r="D4" s="43">
        <f>B4*(1+C4/100)</f>
        <v/>
      </c>
      <c r="E4" s="38" t="n">
        <v>15</v>
      </c>
      <c r="F4" s="38" t="n">
        <v>0</v>
      </c>
      <c r="G4" s="38" t="n">
        <v>25</v>
      </c>
      <c r="H4" s="43">
        <f>D4*G4/1048576</f>
        <v/>
      </c>
      <c r="I4" s="6" t="inlineStr">
        <is>
          <t>&lt; 4h batch processing</t>
        </is>
      </c>
    </row>
    <row r="5">
      <c r="A5" s="40" t="inlineStr">
        <is>
          <t>Individual Policies</t>
        </is>
      </c>
      <c r="B5" s="44" t="n">
        <v>2500000</v>
      </c>
      <c r="C5" s="44" t="n">
        <v>5</v>
      </c>
      <c r="D5" s="45">
        <f>B5*(1+C5/100)</f>
        <v/>
      </c>
      <c r="E5" s="44" t="n">
        <v>200</v>
      </c>
      <c r="F5" s="44" t="n">
        <v>0</v>
      </c>
      <c r="G5" s="44" t="n">
        <v>3.5</v>
      </c>
      <c r="H5" s="45">
        <f>D5*G5/1048576</f>
        <v/>
      </c>
      <c r="I5" s="15" t="inlineStr">
        <is>
          <t>Real-time policy admin</t>
        </is>
      </c>
    </row>
    <row r="6">
      <c r="A6" s="11" t="inlineStr">
        <is>
          <t>Claims Records</t>
        </is>
      </c>
      <c r="B6" s="38" t="n">
        <v>180000</v>
      </c>
      <c r="C6" s="38" t="n">
        <v>7</v>
      </c>
      <c r="D6" s="43">
        <f>B6*(1+C6/100)</f>
        <v/>
      </c>
      <c r="E6" s="38" t="n">
        <v>50</v>
      </c>
      <c r="F6" s="38" t="n">
        <v>0</v>
      </c>
      <c r="G6" s="38" t="n">
        <v>8</v>
      </c>
      <c r="H6" s="43">
        <f>D6*G6/1048576</f>
        <v/>
      </c>
      <c r="I6" s="6" t="inlineStr">
        <is>
          <t>&lt; 1s retrieval</t>
        </is>
      </c>
    </row>
    <row r="7">
      <c r="A7" s="40" t="inlineStr">
        <is>
          <t>Actuarial Cashflow Projections</t>
        </is>
      </c>
      <c r="B7" s="44" t="n">
        <v>54000000</v>
      </c>
      <c r="C7" s="44" t="n">
        <v>10</v>
      </c>
      <c r="D7" s="45">
        <f>B7*(1+C7/100)</f>
        <v/>
      </c>
      <c r="E7" s="44" t="n">
        <v>5</v>
      </c>
      <c r="F7" s="44" t="n">
        <v>0</v>
      </c>
      <c r="G7" s="44" t="n">
        <v>0.2</v>
      </c>
      <c r="H7" s="45">
        <f>D7*G7/1048576</f>
        <v/>
      </c>
      <c r="I7" s="15" t="inlineStr">
        <is>
          <t>Batch only</t>
        </is>
      </c>
    </row>
    <row r="8">
      <c r="A8" s="11" t="inlineStr">
        <is>
          <t>GL Journal Entries</t>
        </is>
      </c>
      <c r="B8" s="38" t="n">
        <v>50000</v>
      </c>
      <c r="C8" s="38" t="n">
        <v>12</v>
      </c>
      <c r="D8" s="43">
        <f>B8*(1+C8/100)</f>
        <v/>
      </c>
      <c r="E8" s="38" t="n">
        <v>10</v>
      </c>
      <c r="F8" s="38" t="n">
        <v>0</v>
      </c>
      <c r="G8" s="38" t="n">
        <v>0.8</v>
      </c>
      <c r="H8" s="43">
        <f>D8*G8/1048576</f>
        <v/>
      </c>
      <c r="I8" s="6" t="inlineStr">
        <is>
          <t>&lt; 30min posting</t>
        </is>
      </c>
    </row>
    <row r="9">
      <c r="A9" s="50" t="inlineStr">
        <is>
          <t>TOTAL</t>
        </is>
      </c>
      <c r="B9" s="51">
        <f>SUM(B4:B8)</f>
        <v/>
      </c>
      <c r="C9" s="52" t="inlineStr"/>
      <c r="D9" s="51">
        <f>SUM(D4:D8)</f>
        <v/>
      </c>
      <c r="E9" s="52" t="inlineStr"/>
      <c r="F9" s="52" t="inlineStr"/>
      <c r="G9" s="52" t="inlineStr"/>
      <c r="H9" s="51">
        <f>SUM(H4:H8)</f>
        <v/>
      </c>
      <c r="I9" s="52" t="inlineStr"/>
    </row>
  </sheetData>
  <autoFilter ref="A3:I8"/>
  <mergeCells count="1">
    <mergeCell ref="A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BE185D"/>
    <outlinePr summaryBelow="1" summaryRight="1"/>
    <pageSetUpPr/>
  </sheetPr>
  <dimension ref="A1:K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5" customWidth="1" min="3" max="3"/>
    <col width="18" customWidth="1" min="4" max="4"/>
    <col width="12" customWidth="1" min="5" max="5"/>
    <col width="10" customWidth="1" min="6" max="6"/>
    <col width="12" customWidth="1" min="7" max="7"/>
    <col width="16" customWidth="1" min="8" max="8"/>
    <col width="22" customWidth="1" min="9" max="9"/>
    <col width="14" customWidth="1" min="10" max="10"/>
    <col width="18" customWidth="1" min="11" max="11"/>
  </cols>
  <sheetData>
    <row r="1" ht="28" customHeight="1">
      <c r="A1" s="35" t="inlineStr">
        <is>
          <t>Change Request Register</t>
        </is>
      </c>
    </row>
    <row r="3" ht="30" customHeight="1">
      <c r="A3" s="53" t="inlineStr">
        <is>
          <t>CR ID</t>
        </is>
      </c>
      <c r="B3" s="53" t="inlineStr">
        <is>
          <t>Title</t>
        </is>
      </c>
      <c r="C3" s="53" t="inlineStr">
        <is>
          <t>Description</t>
        </is>
      </c>
      <c r="D3" s="53" t="inlineStr">
        <is>
          <t>Requestor</t>
        </is>
      </c>
      <c r="E3" s="53" t="inlineStr">
        <is>
          <t>Date</t>
        </is>
      </c>
      <c r="F3" s="53" t="inlineStr">
        <is>
          <t>Impact</t>
        </is>
      </c>
      <c r="G3" s="53" t="inlineStr">
        <is>
          <t>Effort (days)</t>
        </is>
      </c>
      <c r="H3" s="53" t="inlineStr">
        <is>
          <t>Affected REQs</t>
        </is>
      </c>
      <c r="I3" s="53" t="inlineStr">
        <is>
          <t>Affected Fields</t>
        </is>
      </c>
      <c r="J3" s="53" t="inlineStr">
        <is>
          <t>Status</t>
        </is>
      </c>
      <c r="K3" s="53" t="inlineStr">
        <is>
          <t>Approved By</t>
        </is>
      </c>
    </row>
    <row r="4" ht="28" customHeight="1">
      <c r="A4" s="13" t="inlineStr">
        <is>
          <t>CR-001</t>
        </is>
      </c>
      <c r="B4" s="11" t="inlineStr">
        <is>
          <t>Add reinsurance offset calculation to quarterly close</t>
        </is>
      </c>
      <c r="C4" s="6" t="inlineStr">
        <is>
          <t>Reinsurance held asset must be calculated alongside BEL for net position reporting.</t>
        </is>
      </c>
      <c r="D4" s="6" t="inlineStr">
        <is>
          <t>Chief Actuary</t>
        </is>
      </c>
      <c r="E4" s="38" t="inlineStr">
        <is>
          <t>2026-03-15</t>
        </is>
      </c>
      <c r="F4" s="54" t="inlineStr">
        <is>
          <t>High</t>
        </is>
      </c>
      <c r="G4" s="38" t="inlineStr">
        <is>
          <t>10</t>
        </is>
      </c>
      <c r="H4" s="13" t="inlineStr">
        <is>
          <t>REQ-001</t>
        </is>
      </c>
      <c r="I4" s="13" t="inlineStr">
        <is>
          <t>reinsurance_offset</t>
        </is>
      </c>
      <c r="J4" s="49" t="inlineStr">
        <is>
          <t>Approved</t>
        </is>
      </c>
      <c r="K4" s="6" t="inlineStr">
        <is>
          <t>Finance Controller</t>
        </is>
      </c>
    </row>
    <row r="5" ht="28" customHeight="1">
      <c r="A5" s="14" t="inlineStr">
        <is>
          <t>CR-002</t>
        </is>
      </c>
      <c r="B5" s="40" t="inlineStr">
        <is>
          <t>Add PAA eligibility test for short-tail contracts</t>
        </is>
      </c>
      <c r="C5" s="15" t="inlineStr">
        <is>
          <t>Need automated test to determine if PAA simplification can be applied vs full GMM.</t>
        </is>
      </c>
      <c r="D5" s="15" t="inlineStr">
        <is>
          <t>Actuarial Team</t>
        </is>
      </c>
      <c r="E5" s="44" t="inlineStr">
        <is>
          <t>2026-03-20</t>
        </is>
      </c>
      <c r="F5" s="48" t="inlineStr">
        <is>
          <t>Medium</t>
        </is>
      </c>
      <c r="G5" s="44" t="inlineStr">
        <is>
          <t>5</t>
        </is>
      </c>
      <c r="H5" s="14" t="inlineStr">
        <is>
          <t>REQ-002</t>
        </is>
      </c>
      <c r="I5" s="14" t="inlineStr">
        <is>
          <t>measurement_model</t>
        </is>
      </c>
      <c r="J5" s="48" t="inlineStr">
        <is>
          <t>Assessing</t>
        </is>
      </c>
      <c r="K5" s="15" t="inlineStr"/>
    </row>
  </sheetData>
  <autoFilter ref="A3:K5"/>
  <mergeCells count="1">
    <mergeCell ref="A1:K1"/>
  </mergeCells>
  <conditionalFormatting sqref="J4:J15">
    <cfRule type="cellIs" priority="1" operator="equal" dxfId="1">
      <formula>"Approved"</formula>
    </cfRule>
    <cfRule type="cellIs" priority="2" operator="equal" dxfId="3">
      <formula>"Rejected"</formula>
    </cfRule>
    <cfRule type="cellIs" priority="3" operator="equal" dxfId="0">
      <formula>"Submitted"</formula>
    </cfRule>
  </conditionalFormatting>
  <conditionalFormatting sqref="F4:F15">
    <cfRule type="cellIs" priority="4" operator="equal" dxfId="3">
      <formula>"High"</formula>
    </cfRule>
  </conditionalFormatting>
  <dataValidations count="2">
    <dataValidation sqref="F4:F15" showDropDown="0" showInputMessage="0" showErrorMessage="0" allowBlank="1" type="list">
      <formula1>"High,Medium,Low"</formula1>
    </dataValidation>
    <dataValidation sqref="J4:J15" showDropDown="0" showInputMessage="0" showErrorMessage="0" allowBlank="1" type="list">
      <formula1>"Submitted,Assessing,Approved,Rejected,Implemented,Deferred"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92400E"/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35" customWidth="1" min="3" max="3"/>
    <col width="18" customWidth="1" min="4" max="4"/>
    <col width="10" customWidth="1" min="5" max="5"/>
    <col width="12" customWidth="1" min="6" max="6"/>
    <col width="18" customWidth="1" min="7" max="7"/>
    <col width="40" customWidth="1" min="8" max="8"/>
  </cols>
  <sheetData>
    <row r="1" ht="30" customHeight="1">
      <c r="A1" s="55" t="inlineStr">
        <is>
          <t>ID</t>
        </is>
      </c>
      <c r="B1" s="55" t="inlineStr">
        <is>
          <t>Question</t>
        </is>
      </c>
      <c r="C1" s="55" t="inlineStr">
        <is>
          <t>Context</t>
        </is>
      </c>
      <c r="D1" s="55" t="inlineStr">
        <is>
          <t>Entity_Field</t>
        </is>
      </c>
      <c r="E1" s="55" t="inlineStr">
        <is>
          <t>Priority</t>
        </is>
      </c>
      <c r="F1" s="55" t="inlineStr">
        <is>
          <t>Status</t>
        </is>
      </c>
      <c r="G1" s="55" t="inlineStr">
        <is>
          <t>Assigned_To</t>
        </is>
      </c>
      <c r="H1" s="55" t="inlineStr">
        <is>
          <t>Answer</t>
        </is>
      </c>
    </row>
    <row r="2">
      <c r="A2" s="13" t="inlineStr">
        <is>
          <t>Q001</t>
        </is>
      </c>
      <c r="B2" s="6" t="inlineStr">
        <is>
          <t>Will the auditor accept coverage unit approach for CSM amortisation?</t>
        </is>
      </c>
      <c r="C2" s="6" t="inlineStr">
        <is>
          <t>Alternative is passage-of-time which is simpler but less accurate</t>
        </is>
      </c>
      <c r="D2" s="13" t="inlineStr">
        <is>
          <t>coverage_units_total</t>
        </is>
      </c>
      <c r="E2" s="38" t="inlineStr">
        <is>
          <t>Critical</t>
        </is>
      </c>
      <c r="F2" s="48" t="inlineStr">
        <is>
          <t>Open</t>
        </is>
      </c>
      <c r="G2" s="6" t="inlineStr">
        <is>
          <t>Chief Actuary</t>
        </is>
      </c>
      <c r="H2" s="6" t="inlineStr"/>
    </row>
    <row r="3">
      <c r="A3" s="14" t="inlineStr">
        <is>
          <t>Q002</t>
        </is>
      </c>
      <c r="B3" s="15" t="inlineStr">
        <is>
          <t>What discount rate methodology will be used — bottom-up or top-down?</t>
        </is>
      </c>
      <c r="C3" s="15" t="inlineStr">
        <is>
          <t>Both should produce equivalent results per IFRS 17.36</t>
        </is>
      </c>
      <c r="D3" s="14" t="inlineStr">
        <is>
          <t>discount_rate</t>
        </is>
      </c>
      <c r="E3" s="44" t="inlineStr">
        <is>
          <t>High</t>
        </is>
      </c>
      <c r="F3" s="49" t="inlineStr">
        <is>
          <t>Answered</t>
        </is>
      </c>
      <c r="G3" s="15" t="inlineStr">
        <is>
          <t>Chief Actuary</t>
        </is>
      </c>
      <c r="H3" s="15" t="inlineStr">
        <is>
          <t>Bottom-up approach approved (DEC-002)</t>
        </is>
      </c>
    </row>
    <row r="4">
      <c r="A4" s="13" t="inlineStr">
        <is>
          <t>Q003</t>
        </is>
      </c>
      <c r="B4" s="6" t="inlineStr">
        <is>
          <t>How should the EV-to-IFRS 17 bridge reconciliation be performed?</t>
        </is>
      </c>
      <c r="C4" s="6" t="inlineStr">
        <is>
          <t>No automated path exists. Manual reconciliation may be needed for first quarters.</t>
        </is>
      </c>
      <c r="D4" s="13" t="inlineStr">
        <is>
          <t>embedded_value_bridge</t>
        </is>
      </c>
      <c r="E4" s="38" t="inlineStr">
        <is>
          <t>High</t>
        </is>
      </c>
      <c r="F4" s="48" t="inlineStr">
        <is>
          <t>Open</t>
        </is>
      </c>
      <c r="G4" s="6" t="inlineStr">
        <is>
          <t>Finance Controller</t>
        </is>
      </c>
      <c r="H4" s="6" t="inlineStr"/>
    </row>
    <row r="5">
      <c r="A5" s="14" t="inlineStr">
        <is>
          <t>Q004</t>
        </is>
      </c>
      <c r="B5" s="15" t="inlineStr">
        <is>
          <t>What is the materiality threshold for assumption changes triggering CSM recalculation?</t>
        </is>
      </c>
      <c r="C5" s="15" t="inlineStr">
        <is>
          <t>Need to avoid trivial recalculations that consume actuarial engine capacity</t>
        </is>
      </c>
      <c r="D5" s="14" t="inlineStr">
        <is>
          <t>assumption_change_impact</t>
        </is>
      </c>
      <c r="E5" s="44" t="inlineStr">
        <is>
          <t>Medium</t>
        </is>
      </c>
      <c r="F5" s="48" t="inlineStr">
        <is>
          <t>Open</t>
        </is>
      </c>
      <c r="G5" s="15" t="inlineStr">
        <is>
          <t>Chief Actuary</t>
        </is>
      </c>
      <c r="H5" s="15" t="inlineStr"/>
    </row>
  </sheetData>
  <autoFilter ref="A1:H5"/>
  <conditionalFormatting sqref="F2:F15">
    <cfRule type="cellIs" priority="1" operator="equal" dxfId="0">
      <formula>"Open"</formula>
    </cfRule>
    <cfRule type="cellIs" priority="2" operator="equal" dxfId="3">
      <formula>"Blocked"</formula>
    </cfRule>
    <cfRule type="cellIs" priority="3" operator="equal" dxfId="1">
      <formula>"Answered"</formula>
    </cfRule>
  </conditionalFormatting>
  <dataValidations count="2">
    <dataValidation sqref="E2:E15" showDropDown="0" showInputMessage="0" showErrorMessage="0" allowBlank="1" type="list">
      <formula1>"Critical,High,Medium,Low"</formula1>
    </dataValidation>
    <dataValidation sqref="F2:F15" showDropDown="0" showInputMessage="0" showErrorMessage="0" allowBlank="1" type="list">
      <formula1>"Open,In Progress,Answered,Blocked,Closed"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64748B"/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18" customWidth="1" min="3" max="3"/>
  </cols>
  <sheetData>
    <row r="1" ht="30" customHeight="1">
      <c r="A1" s="56" t="inlineStr">
        <is>
          <t>Term</t>
        </is>
      </c>
      <c r="B1" s="56" t="inlineStr">
        <is>
          <t>Definition</t>
        </is>
      </c>
      <c r="C1" s="56" t="inlineStr">
        <is>
          <t>Related_Entity</t>
        </is>
      </c>
    </row>
    <row r="2">
      <c r="A2" s="11" t="inlineStr">
        <is>
          <t>BEL</t>
        </is>
      </c>
      <c r="B2" s="6" t="inlineStr">
        <is>
          <t>Best Estimate Liability. Probability-weighted present value of all future cashflows.</t>
        </is>
      </c>
      <c r="C2" s="13" t="inlineStr">
        <is>
          <t>Contract Group</t>
        </is>
      </c>
    </row>
    <row r="3">
      <c r="A3" s="40" t="inlineStr">
        <is>
          <t>CSM</t>
        </is>
      </c>
      <c r="B3" s="15" t="inlineStr">
        <is>
          <t>Contractual Service Margin. Unearned profit recognised over coverage period.</t>
        </is>
      </c>
      <c r="C3" s="14" t="inlineStr">
        <is>
          <t>Contract Group</t>
        </is>
      </c>
    </row>
    <row r="4">
      <c r="A4" s="11" t="inlineStr">
        <is>
          <t>GMM</t>
        </is>
      </c>
      <c r="B4" s="6" t="inlineStr">
        <is>
          <t>General Measurement Model. Full IFRS 17 measurement approach for long-duration contracts.</t>
        </is>
      </c>
      <c r="C4" s="13" t="inlineStr">
        <is>
          <t>Contract Group</t>
        </is>
      </c>
    </row>
    <row r="5">
      <c r="A5" s="40" t="inlineStr">
        <is>
          <t>PAA</t>
        </is>
      </c>
      <c r="B5" s="15" t="inlineStr">
        <is>
          <t>Premium Allocation Approach. Simplified IFRS 17 measurement for short-duration contracts.</t>
        </is>
      </c>
      <c r="C5" s="14" t="inlineStr">
        <is>
          <t>Contract Group</t>
        </is>
      </c>
    </row>
    <row r="6">
      <c r="A6" s="11" t="inlineStr">
        <is>
          <t>VFA</t>
        </is>
      </c>
      <c r="B6" s="6" t="inlineStr">
        <is>
          <t>Variable Fee Approach. IFRS 17 model for contracts with direct participation features.</t>
        </is>
      </c>
      <c r="C6" s="6" t="inlineStr"/>
    </row>
    <row r="7">
      <c r="A7" s="40" t="inlineStr">
        <is>
          <t>FCF</t>
        </is>
      </c>
      <c r="B7" s="15" t="inlineStr">
        <is>
          <t>Fulfilment Cash Flows. Expected cash flows including risk adjustment and time value of money.</t>
        </is>
      </c>
      <c r="C7" s="14" t="inlineStr">
        <is>
          <t>Contract Group</t>
        </is>
      </c>
    </row>
    <row r="8">
      <c r="A8" s="11" t="inlineStr">
        <is>
          <t>RA</t>
        </is>
      </c>
      <c r="B8" s="6" t="inlineStr">
        <is>
          <t>Risk Adjustment. Compensation for bearing non-financial risk uncertainty.</t>
        </is>
      </c>
      <c r="C8" s="13" t="inlineStr">
        <is>
          <t>Contract Group</t>
        </is>
      </c>
    </row>
    <row r="9">
      <c r="A9" s="40" t="inlineStr">
        <is>
          <t>SCR</t>
        </is>
      </c>
      <c r="B9" s="15" t="inlineStr">
        <is>
          <t>Solvency Capital Requirement. Minimum capital under Solvency II regulatory framework.</t>
        </is>
      </c>
      <c r="C9" s="15" t="inlineStr"/>
    </row>
    <row r="10">
      <c r="A10" s="11" t="inlineStr">
        <is>
          <t>ORSA</t>
        </is>
      </c>
      <c r="B10" s="6" t="inlineStr">
        <is>
          <t>Own Risk and Solvency Assessment. Internal risk assessment required by Solvency II.</t>
        </is>
      </c>
      <c r="C10" s="6" t="inlineStr"/>
    </row>
    <row r="11">
      <c r="A11" s="40" t="inlineStr">
        <is>
          <t>Prophet</t>
        </is>
      </c>
      <c r="B11" s="15" t="inlineStr">
        <is>
          <t>Actuarial modelling platform used for IFRS 17 cashflow projections.</t>
        </is>
      </c>
      <c r="C11" s="14" t="inlineStr">
        <is>
          <t>Contract Group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2026-03-29T00:01:54Z</dcterms:created>
  <dcterms:modified xmlns:dcterms="http://purl.org/dc/terms/" xmlns:xsi="http://www.w3.org/2001/XMLSchema-instance" xsi:type="dcterms:W3CDTF">2026-03-30T13:30:24Z</dcterms:modified>
</cp:coreProperties>
</file>