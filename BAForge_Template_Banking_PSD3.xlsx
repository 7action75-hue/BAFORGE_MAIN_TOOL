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Workflows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TXN Fields" sheetId="5" state="visible" r:id="rId5"/>
    <sheet xmlns:r="http://schemas.openxmlformats.org/officeDocument/2006/relationships" name="API Endpoints" sheetId="6" state="visible" r:id="rId6"/>
    <sheet xmlns:r="http://schemas.openxmlformats.org/officeDocument/2006/relationships" name="Traceability" sheetId="7" state="visible" r:id="rId7"/>
    <sheet xmlns:r="http://schemas.openxmlformats.org/officeDocument/2006/relationships" name="Open Questions" sheetId="8" state="visible" r:id="rId8"/>
    <sheet xmlns:r="http://schemas.openxmlformats.org/officeDocument/2006/relationships" name="Glossary" sheetId="9" state="visible" r:id="rId9"/>
    <sheet xmlns:r="http://schemas.openxmlformats.org/officeDocument/2006/relationships" name="Cross-References" sheetId="10" state="visible" r:id="rId10"/>
    <sheet xmlns:r="http://schemas.openxmlformats.org/officeDocument/2006/relationships" name="RACI Matrix" sheetId="11" state="visible" r:id="rId11"/>
    <sheet xmlns:r="http://schemas.openxmlformats.org/officeDocument/2006/relationships" name="Risk Register" sheetId="12" state="visible" r:id="rId12"/>
    <sheet xmlns:r="http://schemas.openxmlformats.org/officeDocument/2006/relationships" name="NFRs" sheetId="13" state="visible" r:id="rId13"/>
    <sheet xmlns:r="http://schemas.openxmlformats.org/officeDocument/2006/relationships" name="Assumptions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Data Volumes" sheetId="16" state="visible" r:id="rId16"/>
    <sheet xmlns:r="http://schemas.openxmlformats.org/officeDocument/2006/relationships" name="Change Requests" sheetId="17" state="visible" r:id="rId17"/>
  </sheets>
  <definedNames>
    <definedName name="_xlnm._FilterDatabase" localSheetId="1" hidden="1">'Actors'!$A$1:$F$10</definedName>
    <definedName name="_xlnm._FilterDatabase" localSheetId="2" hidden="1">'Workflows'!$A$1:$I$22</definedName>
    <definedName name="_xlnm._FilterDatabase" localSheetId="3" hidden="1">'Business Rules'!$A$1:$I$12</definedName>
    <definedName name="_xlnm._FilterDatabase" localSheetId="4" hidden="1">'TXN Fields'!$A$2:$K$24</definedName>
    <definedName name="_xlnm._FilterDatabase" localSheetId="5" hidden="1">'API Endpoints'!$A$1:$I$7</definedName>
    <definedName name="_xlnm._FilterDatabase" localSheetId="6" hidden="1">'Traceability'!$A$1:$G$10</definedName>
    <definedName name="_xlnm._FilterDatabase" localSheetId="7" hidden="1">'Open Questions'!$A$1:$H$7</definedName>
    <definedName name="_xlnm._FilterDatabase" localSheetId="8" hidden="1">'Glossary'!$A$1:$C$14</definedName>
    <definedName name="_xlnm._FilterDatabase" localSheetId="9" hidden="1">'Cross-References'!$A$4:$F$32</definedName>
    <definedName name="_xlnm._FilterDatabase" localSheetId="10" hidden="1">'RACI Matrix'!$A$4:$H$14</definedName>
    <definedName name="_xlnm._FilterDatabase" localSheetId="11" hidden="1">'Risk Register'!$A$3:$J$7</definedName>
    <definedName name="_xlnm._FilterDatabase" localSheetId="12" hidden="1">'NFRs'!$A$3:$H$8</definedName>
    <definedName name="_xlnm._FilterDatabase" localSheetId="13" hidden="1">'Assumptions'!$A$3:$H$6</definedName>
    <definedName name="_xlnm._FilterDatabase" localSheetId="14" hidden="1">'Decision Log'!$A$3:$H$5</definedName>
    <definedName name="_xlnm._FilterDatabase" localSheetId="15" hidden="1">'Data Volumes'!$A$3:$I$7</definedName>
    <definedName name="_xlnm._FilterDatabase" localSheetId="16" hidden="1">'Change Requests'!$A$3:$K$5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B45309"/>
      <sz val="28"/>
    </font>
    <font>
      <name val="Georgia"/>
      <charset val="1"/>
      <family val="0"/>
      <b val="1"/>
      <color rgb="FFB45309"/>
      <sz val="16"/>
    </font>
    <font>
      <name val="Calibri"/>
      <charset val="1"/>
      <family val="0"/>
      <b val="1"/>
      <color rgb="FF0F172A"/>
      <sz val="10"/>
    </font>
    <font>
      <name val="Calibri"/>
      <charset val="1"/>
      <family val="0"/>
      <color rgb="FF334155"/>
      <sz val="10"/>
    </font>
    <font>
      <name val="Georgia"/>
      <charset val="1"/>
      <family val="0"/>
      <b val="1"/>
      <color rgb="FF0F172A"/>
      <sz val="13"/>
    </font>
    <font>
      <name val="Georgia"/>
      <charset val="1"/>
      <family val="0"/>
      <b val="1"/>
      <color rgb="FF0F172A"/>
      <sz val="28"/>
    </font>
    <font>
      <name val="Calibri"/>
      <charset val="1"/>
      <family val="0"/>
      <color rgb="FF64748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369A1"/>
      <sz val="10"/>
      <u val="single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b val="1"/>
      <color rgb="FF166534"/>
      <sz val="10"/>
    </font>
    <font>
      <name val="Calibri"/>
      <charset val="1"/>
      <family val="0"/>
      <b val="1"/>
      <color rgb="FF92400E"/>
      <sz val="10"/>
    </font>
    <font>
      <name val="Calibri"/>
      <charset val="1"/>
      <family val="0"/>
      <color rgb="FF64748B"/>
      <sz val="9"/>
    </font>
    <font>
      <name val="Calibri"/>
      <charset val="1"/>
      <family val="0"/>
      <b val="1"/>
      <color rgb="FF0F766E"/>
      <sz val="10"/>
    </font>
    <font>
      <name val="Calibri"/>
      <charset val="1"/>
      <family val="0"/>
      <b val="1"/>
      <color rgb="FF6D28D9"/>
      <sz val="10"/>
    </font>
    <font>
      <name val="Calibri"/>
      <charset val="1"/>
      <family val="0"/>
      <b val="1"/>
      <color rgb="FF0369A1"/>
      <sz val="10"/>
    </font>
    <font>
      <name val="Calibri"/>
      <charset val="1"/>
      <family val="0"/>
      <b val="1"/>
      <color rgb="FF92400E"/>
      <sz val="11"/>
    </font>
    <font>
      <name val="Calibri"/>
      <charset val="1"/>
      <family val="0"/>
      <b val="1"/>
      <color rgb="FF0369A1"/>
      <sz val="11"/>
    </font>
    <font>
      <name val="Georgia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0369A1"/>
      <sz val="10"/>
      <u val="single"/>
    </font>
    <font>
      <name val="Calibri"/>
      <b val="1"/>
      <color rgb="000F172A"/>
      <sz val="10"/>
    </font>
    <font>
      <name val="Calibri"/>
      <color rgb="00334155"/>
      <sz val="10"/>
    </font>
  </fonts>
  <fills count="26">
    <fill>
      <patternFill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8FAFC"/>
      </patternFill>
    </fill>
    <fill>
      <patternFill patternType="solid">
        <fgColor rgb="FF0F766E"/>
        <bgColor rgb="FF15803D"/>
      </patternFill>
    </fill>
    <fill>
      <patternFill patternType="solid">
        <fgColor rgb="FFF8FAFC"/>
        <bgColor rgb="FFFFFFFF"/>
      </patternFill>
    </fill>
    <fill>
      <patternFill patternType="solid">
        <fgColor rgb="FFB45309"/>
        <bgColor rgb="FF92400E"/>
      </patternFill>
    </fill>
    <fill>
      <patternFill patternType="solid">
        <fgColor rgb="FF6D28D9"/>
        <bgColor rgb="FF7C3AED"/>
      </patternFill>
    </fill>
    <fill>
      <patternFill patternType="solid">
        <fgColor rgb="FF0369A1"/>
        <bgColor rgb="FF0F766E"/>
      </patternFill>
    </fill>
    <fill>
      <patternFill patternType="solid">
        <fgColor rgb="FFDCFCE7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15803D"/>
        <bgColor rgb="FF0F766E"/>
      </patternFill>
    </fill>
    <fill>
      <patternFill patternType="solid">
        <fgColor rgb="FF92400E"/>
        <bgColor rgb="FFB45309"/>
      </patternFill>
    </fill>
    <fill>
      <patternFill patternType="solid">
        <fgColor rgb="FF64748B"/>
        <bgColor rgb="FF4F81BD"/>
      </patternFill>
    </fill>
    <fill>
      <patternFill patternType="solid">
        <fgColor rgb="FFCCFBF1"/>
        <bgColor rgb="FFDCFCE7"/>
      </patternFill>
    </fill>
    <fill>
      <patternFill patternType="solid">
        <fgColor rgb="FFEDE9FE"/>
        <bgColor rgb="FFF1F5F9"/>
      </patternFill>
    </fill>
    <fill>
      <patternFill patternType="solid">
        <fgColor rgb="FFE0F2FE"/>
        <bgColor rgb="FFF1F5F9"/>
      </patternFill>
    </fill>
    <fill>
      <patternFill patternType="solid">
        <fgColor rgb="FF991B1B"/>
        <bgColor rgb="FF800000"/>
      </patternFill>
    </fill>
    <fill>
      <patternFill patternType="solid">
        <fgColor rgb="FF7C3AED"/>
        <bgColor rgb="FF6D28D9"/>
      </patternFill>
    </fill>
    <fill>
      <patternFill patternType="solid">
        <fgColor rgb="FF334155"/>
        <bgColor rgb="FF333300"/>
      </patternFill>
    </fill>
    <fill>
      <patternFill patternType="solid">
        <fgColor rgb="FFFEE2E2"/>
        <bgColor rgb="FFEDE9FE"/>
      </patternFill>
    </fill>
    <fill>
      <patternFill patternType="solid">
        <fgColor rgb="00F1F5F9"/>
      </patternFill>
    </fill>
    <fill>
      <patternFill patternType="solid">
        <fgColor rgb="00BE185D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F172A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3" fillId="11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9" fillId="1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20" fillId="15" borderId="1" applyAlignment="1" pivotButton="0" quotePrefix="0" xfId="0">
      <alignment horizontal="general" vertical="top" wrapText="1"/>
    </xf>
    <xf numFmtId="0" fontId="21" fillId="16" borderId="1" applyAlignment="1" pivotButton="0" quotePrefix="0" xfId="0">
      <alignment horizontal="general" vertical="top" wrapText="1"/>
    </xf>
    <xf numFmtId="0" fontId="8" fillId="3" borderId="3" applyAlignment="1" pivotButton="0" quotePrefix="0" xfId="0">
      <alignment horizontal="left" vertical="center"/>
    </xf>
    <xf numFmtId="0" fontId="18" fillId="3" borderId="3" applyAlignment="1" pivotButton="0" quotePrefix="0" xfId="0">
      <alignment horizontal="general" vertical="top" wrapText="1"/>
    </xf>
    <xf numFmtId="0" fontId="22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top" wrapText="1"/>
    </xf>
    <xf numFmtId="0" fontId="13" fillId="1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3" fillId="11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9" fillId="1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20" fillId="15" borderId="1" applyAlignment="1" pivotButton="0" quotePrefix="0" xfId="0">
      <alignment horizontal="general" vertical="top" wrapText="1"/>
    </xf>
    <xf numFmtId="0" fontId="21" fillId="16" borderId="1" applyAlignment="1" pivotButton="0" quotePrefix="0" xfId="0">
      <alignment horizontal="general" vertical="top" wrapText="1"/>
    </xf>
    <xf numFmtId="0" fontId="8" fillId="3" borderId="3" applyAlignment="1" pivotButton="0" quotePrefix="0" xfId="0">
      <alignment horizontal="left" vertical="center"/>
    </xf>
    <xf numFmtId="0" fontId="18" fillId="3" borderId="3" applyAlignment="1" pivotButton="0" quotePrefix="0" xfId="0">
      <alignment horizontal="general" vertical="top" wrapText="1"/>
    </xf>
    <xf numFmtId="0" fontId="22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top" wrapText="1"/>
    </xf>
    <xf numFmtId="0" fontId="13" fillId="1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24" fillId="21" borderId="8" applyAlignment="1" pivotButton="0" quotePrefix="0" xfId="0">
      <alignment horizontal="left" vertical="center"/>
    </xf>
    <xf numFmtId="0" fontId="25" fillId="22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vertical="top" wrapText="1"/>
    </xf>
    <xf numFmtId="0" fontId="27" fillId="0" borderId="8" applyAlignment="1" pivotButton="0" quotePrefix="0" xfId="0">
      <alignment vertical="top" wrapText="1"/>
    </xf>
    <xf numFmtId="0" fontId="28" fillId="0" borderId="8" applyAlignment="1" pivotButton="0" quotePrefix="0" xfId="0">
      <alignment vertical="top" wrapText="1"/>
    </xf>
    <xf numFmtId="0" fontId="28" fillId="0" borderId="8" applyAlignment="1" pivotButton="0" quotePrefix="0" xfId="0">
      <alignment horizontal="center" vertical="center" wrapText="1"/>
    </xf>
    <xf numFmtId="0" fontId="28" fillId="23" borderId="8" applyAlignment="1" pivotButton="0" quotePrefix="0" xfId="0">
      <alignment horizontal="center" vertical="center" wrapText="1"/>
    </xf>
    <xf numFmtId="0" fontId="28" fillId="24" borderId="8" applyAlignment="1" pivotButton="0" quotePrefix="0" xfId="0">
      <alignment horizontal="center" vertical="center" wrapText="1"/>
    </xf>
    <xf numFmtId="0" fontId="26" fillId="25" borderId="8" applyAlignment="1" pivotButton="0" quotePrefix="0" xfId="0">
      <alignment vertical="top" wrapText="1"/>
    </xf>
    <xf numFmtId="0" fontId="27" fillId="25" borderId="8" applyAlignment="1" pivotButton="0" quotePrefix="0" xfId="0">
      <alignment vertical="top" wrapText="1"/>
    </xf>
    <xf numFmtId="0" fontId="28" fillId="25" borderId="8" applyAlignment="1" pivotButton="0" quotePrefix="0" xfId="0">
      <alignment vertical="top" wrapText="1"/>
    </xf>
    <xf numFmtId="0" fontId="28" fillId="25" borderId="8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1">
    <dxf>
      <fill>
        <patternFill patternType="solid">
          <fgColor rgb="FF0F766E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0369A1"/>
        <sz val="10"/>
      </font>
      <fill>
        <patternFill>
          <bgColor rgb="FFE0F2FE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Calibri"/>
        <charset val="1"/>
        <family val="0"/>
        <color rgb="FF64748B"/>
        <sz val="9"/>
      </font>
      <fill>
        <patternFill>
          <bgColor rgb="FFF1F5F9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ont>
        <name val="Calibri"/>
        <b val="1"/>
        <color rgb="00166534"/>
        <sz val="10"/>
      </font>
      <fill>
        <patternFill patternType="solid">
          <fgColor rgb="00DCFCE7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5803D"/>
      <rgbColor rgb="FF000080"/>
      <rgbColor rgb="FF808000"/>
      <rgbColor rgb="FF800080"/>
      <rgbColor rgb="FF0F766E"/>
      <rgbColor rgb="FFD9D9D9"/>
      <rgbColor rgb="FF4F81BD"/>
      <rgbColor rgb="FF9999FF"/>
      <rgbColor rgb="FFB45309"/>
      <rgbColor rgb="FFFEF3C7"/>
      <rgbColor rgb="FFCCFBF1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0CCFF"/>
      <rgbColor rgb="FFDCFCE7"/>
      <rgbColor rgb="FFE0F2FE"/>
      <rgbColor rgb="FFF8FAFC"/>
      <rgbColor rgb="FFEDE9FE"/>
      <rgbColor rgb="FFF1F5F9"/>
      <rgbColor rgb="FFCC99FF"/>
      <rgbColor rgb="FFFEE2E2"/>
      <rgbColor rgb="FF3366FF"/>
      <rgbColor rgb="FF33CCCC"/>
      <rgbColor rgb="FF99CC00"/>
      <rgbColor rgb="FFFFCC00"/>
      <rgbColor rgb="FFF59E0B"/>
      <rgbColor rgb="FFEF4444"/>
      <rgbColor rgb="FF64748B"/>
      <rgbColor rgb="FF969696"/>
      <rgbColor rgb="FF003366"/>
      <rgbColor rgb="FF22C55E"/>
      <rgbColor rgb="FF0F172A"/>
      <rgbColor rgb="FF333300"/>
      <rgbColor rgb="FF92400E"/>
      <rgbColor rgb="FF7C3AED"/>
      <rgbColor rgb="FF6D28D9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Field Migration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f4444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Overview!$A$18:$A$20</f>
              <strCache>
                <ptCount val="3"/>
                <pt idx="0">
                  <v>ok</v>
                </pt>
                <pt idx="1">
                  <v>TBI</v>
                </pt>
                <pt idx="2">
                  <v>Gap</v>
                </pt>
              </strCache>
            </strRef>
          </cat>
          <val>
            <numRef>
              <f>Overview!$B$18:$B$20</f>
              <numCache>
                <formatCode>General</formatCode>
                <ptCount val="3"/>
                <pt idx="0">
                  <v>17</v>
                </pt>
                <pt idx="1">
                  <v>4</v>
                </pt>
                <pt idx="2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15</row>
      <rowOff>78120</rowOff>
    </from>
    <to>
      <col>8</col>
      <colOff>105480</colOff>
      <row>33</row>
      <rowOff>41760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F172A"/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51" min="1" max="1"/>
    <col width="14" customWidth="1" style="51" min="2" max="10"/>
  </cols>
  <sheetData>
    <row r="1" ht="49.5" customHeight="1" s="52">
      <c r="A1" s="53" t="inlineStr">
        <is>
          <t>BAForge</t>
        </is>
      </c>
      <c r="B1" s="54" t="n"/>
      <c r="C1" s="54" t="n"/>
      <c r="D1" s="54" t="n"/>
      <c r="E1" s="54" t="n"/>
      <c r="F1" s="54" t="n"/>
      <c r="G1" s="54" t="n"/>
      <c r="H1" s="54" t="n"/>
      <c r="I1" s="55" t="n"/>
    </row>
    <row r="2" ht="34.5" customHeight="1" s="52">
      <c r="A2" s="56" t="inlineStr">
        <is>
          <t>PSD3 Payment Migration</t>
        </is>
      </c>
      <c r="B2" s="54" t="n"/>
      <c r="C2" s="54" t="n"/>
      <c r="D2" s="54" t="n"/>
      <c r="E2" s="54" t="n"/>
      <c r="F2" s="54" t="n"/>
      <c r="G2" s="54" t="n"/>
      <c r="H2" s="54" t="n"/>
      <c r="I2" s="55" t="n"/>
    </row>
    <row r="4" ht="15" customHeight="1" s="52">
      <c r="A4" s="57" t="inlineStr">
        <is>
          <t>Domain</t>
        </is>
      </c>
      <c r="B4" s="58" t="inlineStr">
        <is>
          <t>Banking &amp; Finance</t>
        </is>
      </c>
      <c r="C4" s="54" t="n"/>
      <c r="D4" s="55" t="n"/>
    </row>
    <row r="5" ht="23.85" customHeight="1" s="52">
      <c r="A5" s="57" t="inlineStr">
        <is>
          <t>Description</t>
        </is>
      </c>
      <c r="B5" s="58" t="inlineStr">
        <is>
          <t>Core banking PSD3 compliance: SCA, Open Banking, fraud detection, AML screening.</t>
        </is>
      </c>
      <c r="C5" s="54" t="n"/>
      <c r="D5" s="55" t="n"/>
    </row>
    <row r="6" ht="15" customHeight="1" s="52">
      <c r="A6" s="57" t="inlineStr">
        <is>
          <t>Version</t>
        </is>
      </c>
      <c r="B6" s="58" t="inlineStr">
        <is>
          <t>1.0.0</t>
        </is>
      </c>
      <c r="C6" s="54" t="n"/>
      <c r="D6" s="55" t="n"/>
    </row>
    <row r="7" ht="15" customHeight="1" s="52">
      <c r="A7" s="57" t="inlineStr">
        <is>
          <t>Author</t>
        </is>
      </c>
      <c r="B7" s="58" t="inlineStr">
        <is>
          <t>SFL Consulting — Stéphane Lefort</t>
        </is>
      </c>
      <c r="C7" s="54" t="n"/>
      <c r="D7" s="55" t="n"/>
    </row>
    <row r="8" ht="15" customHeight="1" s="52">
      <c r="A8" s="57" t="inlineStr">
        <is>
          <t>Generated by</t>
        </is>
      </c>
      <c r="B8" s="58" t="inlineStr">
        <is>
          <t>BAForge v3.1</t>
        </is>
      </c>
      <c r="C8" s="54" t="n"/>
      <c r="D8" s="55" t="n"/>
    </row>
    <row r="9" ht="15" customHeight="1" s="52">
      <c r="A9" s="57" t="n"/>
      <c r="B9" s="58" t="n"/>
      <c r="C9" s="54" t="n"/>
      <c r="D9" s="55" t="n"/>
    </row>
    <row r="11" ht="27.75" customHeight="1" s="52">
      <c r="A11" s="59" t="inlineStr">
        <is>
          <t>PROJECT DASHBOARD</t>
        </is>
      </c>
    </row>
    <row r="12" ht="45" customHeight="1" s="52">
      <c r="A12" s="60" t="n">
        <v>8</v>
      </c>
      <c r="B12" s="55" t="n"/>
      <c r="C12" s="60" t="n">
        <v>3</v>
      </c>
      <c r="D12" s="55" t="n"/>
      <c r="E12" s="60" t="n">
        <v>10</v>
      </c>
      <c r="F12" s="55" t="n"/>
      <c r="G12" s="60" t="n">
        <v>1</v>
      </c>
      <c r="H12" s="55" t="n"/>
      <c r="I12" s="60" t="n">
        <v>21</v>
      </c>
      <c r="J12" s="55" t="n"/>
    </row>
    <row r="13" ht="15" customHeight="1" s="52">
      <c r="A13" s="61" t="inlineStr">
        <is>
          <t>Actors</t>
        </is>
      </c>
      <c r="B13" s="55" t="n"/>
      <c r="C13" s="61" t="inlineStr">
        <is>
          <t>Workflows</t>
        </is>
      </c>
      <c r="D13" s="55" t="n"/>
      <c r="E13" s="61" t="inlineStr">
        <is>
          <t>Business Rules</t>
        </is>
      </c>
      <c r="F13" s="55" t="n"/>
      <c r="G13" s="61" t="inlineStr">
        <is>
          <t>Entities</t>
        </is>
      </c>
      <c r="H13" s="55" t="n"/>
      <c r="I13" s="61" t="inlineStr">
        <is>
          <t>Total Fields</t>
        </is>
      </c>
      <c r="J13" s="55" t="n"/>
    </row>
    <row r="14" ht="45" customHeight="1" s="52">
      <c r="A14" s="60" t="n">
        <v>5</v>
      </c>
      <c r="B14" s="55" t="n"/>
      <c r="C14" s="60" t="n">
        <v>8</v>
      </c>
      <c r="D14" s="55" t="n"/>
      <c r="E14" s="60" t="n">
        <v>5</v>
      </c>
      <c r="F14" s="55" t="n"/>
      <c r="G14" s="62" t="n">
        <v>4</v>
      </c>
      <c r="H14" s="55" t="n"/>
      <c r="I14" s="62" t="n">
        <v>0</v>
      </c>
      <c r="J14" s="55" t="n"/>
    </row>
    <row r="15" ht="15" customHeight="1" s="52">
      <c r="A15" s="61" t="inlineStr">
        <is>
          <t>API Endpoints</t>
        </is>
      </c>
      <c r="B15" s="55" t="n"/>
      <c r="C15" s="61" t="inlineStr">
        <is>
          <t>Requirements</t>
        </is>
      </c>
      <c r="D15" s="55" t="n"/>
      <c r="E15" s="61" t="inlineStr">
        <is>
          <t>Open Questions</t>
        </is>
      </c>
      <c r="F15" s="55" t="n"/>
      <c r="G15" s="61" t="inlineStr">
        <is>
          <t>TBI Fields</t>
        </is>
      </c>
      <c r="H15" s="55" t="n"/>
      <c r="I15" s="61" t="inlineStr">
        <is>
          <t>Gap Fields</t>
        </is>
      </c>
      <c r="J15" s="55" t="n"/>
    </row>
    <row r="17" ht="31.3" customHeight="1" s="52">
      <c r="A17" s="59" t="inlineStr">
        <is>
          <t>Migration Status</t>
        </is>
      </c>
    </row>
    <row r="18" ht="15" customHeight="1" s="52">
      <c r="A18" s="63" t="inlineStr">
        <is>
          <t>ok</t>
        </is>
      </c>
      <c r="B18" s="58" t="n">
        <v>17</v>
      </c>
    </row>
    <row r="19" ht="15" customHeight="1" s="52">
      <c r="A19" s="63" t="inlineStr">
        <is>
          <t>TBI</t>
        </is>
      </c>
      <c r="B19" s="58" t="n">
        <v>4</v>
      </c>
    </row>
    <row r="20" ht="15" customHeight="1" s="52">
      <c r="A20" s="63" t="inlineStr">
        <is>
          <t>Gap</t>
        </is>
      </c>
      <c r="B20" s="58" t="n">
        <v>0</v>
      </c>
    </row>
  </sheetData>
  <mergeCells count="29">
    <mergeCell ref="E12:F12"/>
    <mergeCell ref="G12:H12"/>
    <mergeCell ref="A15:B15"/>
    <mergeCell ref="C15:D15"/>
    <mergeCell ref="I15:J15"/>
    <mergeCell ref="B8:D8"/>
    <mergeCell ref="C14:D14"/>
    <mergeCell ref="E14:F14"/>
    <mergeCell ref="A2:I2"/>
    <mergeCell ref="B9:D9"/>
    <mergeCell ref="E13:F13"/>
    <mergeCell ref="G13:H13"/>
    <mergeCell ref="B6:D6"/>
    <mergeCell ref="A12:B12"/>
    <mergeCell ref="C12:D12"/>
    <mergeCell ref="I12:J12"/>
    <mergeCell ref="B5:D5"/>
    <mergeCell ref="E15:F15"/>
    <mergeCell ref="G15:H15"/>
    <mergeCell ref="B4:D4"/>
    <mergeCell ref="A14:B14"/>
    <mergeCell ref="G14:H14"/>
    <mergeCell ref="I14:J14"/>
    <mergeCell ref="B7:D7"/>
    <mergeCell ref="A11:I11"/>
    <mergeCell ref="A1:I1"/>
    <mergeCell ref="A13:B13"/>
    <mergeCell ref="C13:D13"/>
    <mergeCell ref="I13:J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1" min="1" max="1"/>
    <col width="24" customWidth="1" style="51" min="2" max="2"/>
    <col width="18" customWidth="1" style="51" min="3" max="3"/>
    <col width="45" customWidth="1" style="51" min="4" max="4"/>
    <col width="8" customWidth="1" style="51" min="5" max="5"/>
    <col width="30" customWidth="1" style="51" min="6" max="6"/>
  </cols>
  <sheetData>
    <row r="1" ht="31.5" customHeight="1" s="52">
      <c r="A1" s="64" t="inlineStr">
        <is>
          <t>ID</t>
        </is>
      </c>
      <c r="B1" s="64" t="inlineStr">
        <is>
          <t>Name</t>
        </is>
      </c>
      <c r="C1" s="64" t="inlineStr">
        <is>
          <t>Type</t>
        </is>
      </c>
      <c r="D1" s="64" t="inlineStr">
        <is>
          <t>Description</t>
        </is>
      </c>
      <c r="E1" s="64" t="inlineStr">
        <is>
          <t>CRUD</t>
        </is>
      </c>
      <c r="F1" s="64" t="inlineStr">
        <is>
          <t>Permissions</t>
        </is>
      </c>
    </row>
    <row r="2" ht="21.75" customHeight="1" s="52">
      <c r="A2" s="65" t="inlineStr">
        <is>
          <t>AC001</t>
        </is>
      </c>
      <c r="B2" s="58" t="inlineStr">
        <is>
          <t>Compliance Officer</t>
        </is>
      </c>
      <c r="C2" s="58" t="inlineStr">
        <is>
          <t>Primary Actor</t>
        </is>
      </c>
      <c r="D2" s="58" t="inlineStr">
        <is>
          <t>Oversees PSD3/AML regulatory compliance and SCA enforcement</t>
        </is>
      </c>
      <c r="E2" s="58" t="inlineStr">
        <is>
          <t>R</t>
        </is>
      </c>
      <c r="F2" s="58" t="inlineStr">
        <is>
          <t>All transaction data - audit view</t>
        </is>
      </c>
    </row>
    <row r="3" ht="21.75" customHeight="1" s="52">
      <c r="A3" s="66" t="inlineStr">
        <is>
          <t>AC002</t>
        </is>
      </c>
      <c r="B3" s="67" t="inlineStr">
        <is>
          <t>Payment Operations Manager</t>
        </is>
      </c>
      <c r="C3" s="67" t="inlineStr">
        <is>
          <t>Primary Actor</t>
        </is>
      </c>
      <c r="D3" s="67" t="inlineStr">
        <is>
          <t>Manages daily payment processing and fraud monitoring</t>
        </is>
      </c>
      <c r="E3" s="67" t="inlineStr">
        <is>
          <t>CRUD</t>
        </is>
      </c>
      <c r="F3" s="67" t="inlineStr">
        <is>
          <t>Payment transactions and rules</t>
        </is>
      </c>
    </row>
    <row r="4" ht="21.75" customHeight="1" s="52">
      <c r="A4" s="65" t="inlineStr">
        <is>
          <t>AC003</t>
        </is>
      </c>
      <c r="B4" s="58" t="inlineStr">
        <is>
          <t>Customer Service Agent</t>
        </is>
      </c>
      <c r="C4" s="58" t="inlineStr">
        <is>
          <t>Primary Actor</t>
        </is>
      </c>
      <c r="D4" s="58" t="inlineStr">
        <is>
          <t>Handles customer disputes and SCA fallback procedures</t>
        </is>
      </c>
      <c r="E4" s="58" t="inlineStr">
        <is>
          <t>CRU</t>
        </is>
      </c>
      <c r="F4" s="58" t="inlineStr">
        <is>
          <t>Customer records and disputes</t>
        </is>
      </c>
    </row>
    <row r="5" ht="21.75" customHeight="1" s="52">
      <c r="A5" s="66" t="inlineStr">
        <is>
          <t>AC004</t>
        </is>
      </c>
      <c r="B5" s="67" t="inlineStr">
        <is>
          <t>Core Banking System (CBS)</t>
        </is>
      </c>
      <c r="C5" s="67" t="inlineStr">
        <is>
          <t>System Actor</t>
        </is>
      </c>
      <c r="D5" s="67" t="inlineStr">
        <is>
          <t>Legacy core banking platform being upgraded for PSD3</t>
        </is>
      </c>
      <c r="E5" s="67" t="inlineStr">
        <is>
          <t>CRUD</t>
        </is>
      </c>
      <c r="F5" s="67" t="inlineStr">
        <is>
          <t>All financial records</t>
        </is>
      </c>
    </row>
    <row r="6" ht="21.75" customHeight="1" s="52">
      <c r="A6" s="65" t="inlineStr">
        <is>
          <t>AC005</t>
        </is>
      </c>
      <c r="B6" s="58" t="inlineStr">
        <is>
          <t>PSD3 Payment Gateway</t>
        </is>
      </c>
      <c r="C6" s="58" t="inlineStr">
        <is>
          <t>System Actor</t>
        </is>
      </c>
      <c r="D6" s="58" t="inlineStr">
        <is>
          <t>New payment processing engine with SCA and fraud detection</t>
        </is>
      </c>
      <c r="E6" s="58" t="inlineStr">
        <is>
          <t>CRU</t>
        </is>
      </c>
      <c r="F6" s="58" t="inlineStr">
        <is>
          <t>Payment initiation and auth</t>
        </is>
      </c>
    </row>
    <row r="7" ht="21.75" customHeight="1" s="52">
      <c r="A7" s="66" t="inlineStr">
        <is>
          <t>AC006</t>
        </is>
      </c>
      <c r="B7" s="67" t="inlineStr">
        <is>
          <t>AML Screening Engine</t>
        </is>
      </c>
      <c r="C7" s="67" t="inlineStr">
        <is>
          <t>System Actor</t>
        </is>
      </c>
      <c r="D7" s="67" t="inlineStr">
        <is>
          <t>Real-time sanctions and PEP screening on all transactions</t>
        </is>
      </c>
      <c r="E7" s="67" t="inlineStr">
        <is>
          <t>R</t>
        </is>
      </c>
      <c r="F7" s="67" t="inlineStr">
        <is>
          <t>Transaction metadata only</t>
        </is>
      </c>
    </row>
    <row r="8" ht="21.75" customHeight="1" s="52">
      <c r="A8" s="65" t="inlineStr">
        <is>
          <t>AC007</t>
        </is>
      </c>
      <c r="B8" s="58" t="inlineStr">
        <is>
          <t>Open Banking API Gateway</t>
        </is>
      </c>
      <c r="C8" s="58" t="inlineStr">
        <is>
          <t>System Actor</t>
        </is>
      </c>
      <c r="D8" s="58" t="inlineStr">
        <is>
          <t>TPP access layer exposing account and payment APIs per PSD3</t>
        </is>
      </c>
      <c r="E8" s="58" t="inlineStr">
        <is>
          <t>R</t>
        </is>
      </c>
      <c r="F8" s="58" t="inlineStr">
        <is>
          <t>Consent-gated account data</t>
        </is>
      </c>
    </row>
    <row r="9" ht="21.75" customHeight="1" s="52">
      <c r="A9" s="66" t="inlineStr">
        <is>
          <t>AC008</t>
        </is>
      </c>
      <c r="B9" s="67" t="inlineStr">
        <is>
          <t>Fraud Detection Scheduler</t>
        </is>
      </c>
      <c r="C9" s="67" t="inlineStr">
        <is>
          <t>Timer/Scheduler</t>
        </is>
      </c>
      <c r="D9" s="67" t="inlineStr">
        <is>
          <t>Runs every 15 minutes - analyses transaction patterns for anomalies</t>
        </is>
      </c>
      <c r="E9" s="67" t="inlineStr">
        <is>
          <t>RU</t>
        </is>
      </c>
      <c r="F9" s="67" t="inlineStr">
        <is>
          <t>Transaction scoring updates</t>
        </is>
      </c>
    </row>
  </sheetData>
  <autoFilter ref="A1:F10"/>
  <dataValidations count="1">
    <dataValidation sqref="C2:C10" showDropDown="0" showInputMessage="0" showErrorMessage="0" allowBlank="1" errorTitle="Invalid value" error="Please select a valid option" type="list" errorStyle="stop" operator="between">
      <formula1>"Primary Actor,Secondary Actor,System Actor,External System,Timer/Scheduler"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B45309"/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1" min="1" max="1"/>
    <col width="22" customWidth="1" style="51" min="2" max="2"/>
    <col width="30" customWidth="1" style="51" min="3" max="3"/>
    <col width="14" customWidth="1" style="51" min="4" max="4"/>
    <col width="10" customWidth="1" style="51" min="5" max="5"/>
    <col width="14" customWidth="1" style="51" min="6" max="6"/>
    <col width="40" customWidth="1" style="51" min="7" max="7"/>
    <col width="14" customWidth="1" style="51" min="8" max="8"/>
    <col width="24" customWidth="1" style="51" min="9" max="9"/>
  </cols>
  <sheetData>
    <row r="1" ht="31.5" customHeight="1" s="52">
      <c r="A1" s="68" t="inlineStr">
        <is>
          <t>WF_ID</t>
        </is>
      </c>
      <c r="B1" s="68" t="inlineStr">
        <is>
          <t>Name</t>
        </is>
      </c>
      <c r="C1" s="68" t="inlineStr">
        <is>
          <t>Trigger</t>
        </is>
      </c>
      <c r="D1" s="68" t="inlineStr">
        <is>
          <t>Owner</t>
        </is>
      </c>
      <c r="E1" s="68" t="inlineStr">
        <is>
          <t>Step_Num</t>
        </is>
      </c>
      <c r="F1" s="68" t="inlineStr">
        <is>
          <t>Step_Type</t>
        </is>
      </c>
      <c r="G1" s="68" t="inlineStr">
        <is>
          <t>Step_Description</t>
        </is>
      </c>
      <c r="H1" s="68" t="inlineStr">
        <is>
          <t>Step_Actor</t>
        </is>
      </c>
      <c r="I1" s="68" t="inlineStr">
        <is>
          <t>Step_Output</t>
        </is>
      </c>
    </row>
    <row r="2" ht="21.75" customHeight="1" s="52">
      <c r="A2" s="69" t="inlineStr">
        <is>
          <t>WF001</t>
        </is>
      </c>
      <c r="B2" s="70" t="inlineStr">
        <is>
          <t>SEPA Payment Initiation</t>
        </is>
      </c>
      <c r="C2" s="70" t="inlineStr">
        <is>
          <t>Customer submits payment via online banking</t>
        </is>
      </c>
      <c r="D2" s="70" t="inlineStr">
        <is>
          <t>AC002</t>
        </is>
      </c>
      <c r="E2" s="70" t="inlineStr">
        <is>
          <t>1</t>
        </is>
      </c>
      <c r="F2" s="70" t="inlineStr">
        <is>
          <t>Start</t>
        </is>
      </c>
      <c r="G2" s="70" t="inlineStr">
        <is>
          <t>Customer enters beneficiary IBAN and amount</t>
        </is>
      </c>
      <c r="H2" s="69" t="inlineStr">
        <is>
          <t>AC003</t>
        </is>
      </c>
      <c r="I2" s="70" t="inlineStr">
        <is>
          <t>Payment request created</t>
        </is>
      </c>
    </row>
    <row r="3" ht="21.75" customHeight="1" s="52">
      <c r="A3" s="66" t="inlineStr">
        <is>
          <t>WF001</t>
        </is>
      </c>
      <c r="B3" s="67" t="inlineStr">
        <is>
          <t>SEPA Payment Initiation</t>
        </is>
      </c>
      <c r="C3" s="67" t="inlineStr">
        <is>
          <t>Customer submits payment via online banking</t>
        </is>
      </c>
      <c r="D3" s="67" t="inlineStr">
        <is>
          <t>AC002</t>
        </is>
      </c>
      <c r="E3" s="67" t="inlineStr">
        <is>
          <t>2</t>
        </is>
      </c>
      <c r="F3" s="67" t="inlineStr">
        <is>
          <t>Subprocess</t>
        </is>
      </c>
      <c r="G3" s="67" t="inlineStr">
        <is>
          <t>AML screening: check beneficiary against sanctions list</t>
        </is>
      </c>
      <c r="H3" s="66" t="inlineStr">
        <is>
          <t>AC006</t>
        </is>
      </c>
      <c r="I3" s="67" t="inlineStr">
        <is>
          <t>Screening result (pass/flag)</t>
        </is>
      </c>
    </row>
    <row r="4" ht="21.75" customHeight="1" s="52">
      <c r="A4" s="65" t="inlineStr">
        <is>
          <t>WF001</t>
        </is>
      </c>
      <c r="B4" s="58" t="inlineStr">
        <is>
          <t>SEPA Payment Initiation</t>
        </is>
      </c>
      <c r="C4" s="58" t="inlineStr">
        <is>
          <t>Customer submits payment via online banking</t>
        </is>
      </c>
      <c r="D4" s="58" t="inlineStr">
        <is>
          <t>AC002</t>
        </is>
      </c>
      <c r="E4" s="58" t="inlineStr">
        <is>
          <t>3</t>
        </is>
      </c>
      <c r="F4" s="58" t="inlineStr">
        <is>
          <t>Decision</t>
        </is>
      </c>
      <c r="G4" s="58" t="inlineStr">
        <is>
          <t>Is beneficiary flagged by AML screening?</t>
        </is>
      </c>
      <c r="H4" s="65" t="inlineStr">
        <is>
          <t>AC006</t>
        </is>
      </c>
      <c r="I4" s="58" t="inlineStr">
        <is>
          <t>Pass: continue / Flag: escalate to AC001</t>
        </is>
      </c>
    </row>
    <row r="5" ht="21.75" customHeight="1" s="52">
      <c r="A5" s="66" t="inlineStr">
        <is>
          <t>WF001</t>
        </is>
      </c>
      <c r="B5" s="67" t="inlineStr">
        <is>
          <t>SEPA Payment Initiation</t>
        </is>
      </c>
      <c r="C5" s="67" t="inlineStr">
        <is>
          <t>Customer submits payment via online banking</t>
        </is>
      </c>
      <c r="D5" s="67" t="inlineStr">
        <is>
          <t>AC002</t>
        </is>
      </c>
      <c r="E5" s="67" t="inlineStr">
        <is>
          <t>4</t>
        </is>
      </c>
      <c r="F5" s="67" t="inlineStr">
        <is>
          <t>Action</t>
        </is>
      </c>
      <c r="G5" s="67" t="inlineStr">
        <is>
          <t>Trigger SCA challenge (biometric or SMS OTP) per BR001</t>
        </is>
      </c>
      <c r="H5" s="66" t="inlineStr">
        <is>
          <t>AC005</t>
        </is>
      </c>
      <c r="I5" s="67" t="inlineStr">
        <is>
          <t>SCA token generated</t>
        </is>
      </c>
    </row>
    <row r="6" ht="21.75" customHeight="1" s="52">
      <c r="A6" s="65" t="inlineStr">
        <is>
          <t>WF001</t>
        </is>
      </c>
      <c r="B6" s="58" t="inlineStr">
        <is>
          <t>SEPA Payment Initiation</t>
        </is>
      </c>
      <c r="C6" s="58" t="inlineStr">
        <is>
          <t>Customer submits payment via online banking</t>
        </is>
      </c>
      <c r="D6" s="58" t="inlineStr">
        <is>
          <t>AC002</t>
        </is>
      </c>
      <c r="E6" s="58" t="inlineStr">
        <is>
          <t>5</t>
        </is>
      </c>
      <c r="F6" s="58" t="inlineStr">
        <is>
          <t>Decision</t>
        </is>
      </c>
      <c r="G6" s="58" t="inlineStr">
        <is>
          <t>Did customer complete SCA within 5 minutes (BR002)?</t>
        </is>
      </c>
      <c r="H6" s="65" t="inlineStr">
        <is>
          <t>AC005</t>
        </is>
      </c>
      <c r="I6" s="58" t="inlineStr">
        <is>
          <t>Yes: proceed / No: timeout per BR003</t>
        </is>
      </c>
    </row>
    <row r="7" ht="21.75" customHeight="1" s="52">
      <c r="A7" s="66" t="inlineStr">
        <is>
          <t>WF001</t>
        </is>
      </c>
      <c r="B7" s="67" t="inlineStr">
        <is>
          <t>SEPA Payment Initiation</t>
        </is>
      </c>
      <c r="C7" s="67" t="inlineStr">
        <is>
          <t>Customer submits payment via online banking</t>
        </is>
      </c>
      <c r="D7" s="67" t="inlineStr">
        <is>
          <t>AC002</t>
        </is>
      </c>
      <c r="E7" s="67" t="inlineStr">
        <is>
          <t>6</t>
        </is>
      </c>
      <c r="F7" s="67" t="inlineStr">
        <is>
          <t>Action</t>
        </is>
      </c>
      <c r="G7" s="67" t="inlineStr">
        <is>
          <t>Submit payment to SEPA clearing network</t>
        </is>
      </c>
      <c r="H7" s="66" t="inlineStr">
        <is>
          <t>AC004</t>
        </is>
      </c>
      <c r="I7" s="67" t="inlineStr">
        <is>
          <t>Payment submitted with unique reference</t>
        </is>
      </c>
    </row>
    <row r="8" ht="21.75" customHeight="1" s="52">
      <c r="A8" s="65" t="inlineStr">
        <is>
          <t>WF001</t>
        </is>
      </c>
      <c r="B8" s="58" t="inlineStr">
        <is>
          <t>SEPA Payment Initiation</t>
        </is>
      </c>
      <c r="C8" s="58" t="inlineStr">
        <is>
          <t>Customer submits payment via online banking</t>
        </is>
      </c>
      <c r="D8" s="58" t="inlineStr">
        <is>
          <t>AC002</t>
        </is>
      </c>
      <c r="E8" s="58" t="inlineStr">
        <is>
          <t>7</t>
        </is>
      </c>
      <c r="F8" s="58" t="inlineStr">
        <is>
          <t>Action</t>
        </is>
      </c>
      <c r="G8" s="58" t="inlineStr">
        <is>
          <t>Update transaction status and notify customer</t>
        </is>
      </c>
      <c r="H8" s="65" t="inlineStr">
        <is>
          <t>AC004</t>
        </is>
      </c>
      <c r="I8" s="58" t="inlineStr">
        <is>
          <t>Status: EXECUTED - notification sent</t>
        </is>
      </c>
    </row>
    <row r="9" ht="21.75" customHeight="1" s="52">
      <c r="A9" s="66" t="inlineStr">
        <is>
          <t>WF001</t>
        </is>
      </c>
      <c r="B9" s="67" t="inlineStr">
        <is>
          <t>SEPA Payment Initiation</t>
        </is>
      </c>
      <c r="C9" s="67" t="inlineStr">
        <is>
          <t>Customer submits payment via online banking</t>
        </is>
      </c>
      <c r="D9" s="67" t="inlineStr">
        <is>
          <t>AC002</t>
        </is>
      </c>
      <c r="E9" s="67" t="inlineStr">
        <is>
          <t>8</t>
        </is>
      </c>
      <c r="F9" s="67" t="inlineStr">
        <is>
          <t>End</t>
        </is>
      </c>
      <c r="G9" s="67" t="inlineStr">
        <is>
          <t>Transaction logged with full audit trail</t>
        </is>
      </c>
      <c r="H9" s="66" t="inlineStr">
        <is>
          <t>AC004</t>
        </is>
      </c>
      <c r="I9" s="67" t="inlineStr">
        <is>
          <t>Audit record with SCA + AML evidence</t>
        </is>
      </c>
    </row>
    <row r="10" ht="21.75" customHeight="1" s="52">
      <c r="A10" s="69" t="inlineStr">
        <is>
          <t>WF002</t>
        </is>
      </c>
      <c r="B10" s="70" t="inlineStr">
        <is>
          <t>Fraud Alert Processing</t>
        </is>
      </c>
      <c r="C10" s="70" t="inlineStr">
        <is>
          <t>Fraud Detection Scheduler flags anomalous transaction</t>
        </is>
      </c>
      <c r="D10" s="70" t="inlineStr">
        <is>
          <t>AC002</t>
        </is>
      </c>
      <c r="E10" s="70" t="inlineStr">
        <is>
          <t>1</t>
        </is>
      </c>
      <c r="F10" s="70" t="inlineStr">
        <is>
          <t>Start</t>
        </is>
      </c>
      <c r="G10" s="70" t="inlineStr">
        <is>
          <t>Scheduler identifies transaction scoring above threshold</t>
        </is>
      </c>
      <c r="H10" s="69" t="inlineStr">
        <is>
          <t>AC008</t>
        </is>
      </c>
      <c r="I10" s="70" t="inlineStr">
        <is>
          <t>Alert created with risk score</t>
        </is>
      </c>
    </row>
    <row r="11" ht="21.75" customHeight="1" s="52">
      <c r="A11" s="66" t="inlineStr">
        <is>
          <t>WF002</t>
        </is>
      </c>
      <c r="B11" s="67" t="inlineStr">
        <is>
          <t>Fraud Alert Processing</t>
        </is>
      </c>
      <c r="C11" s="67" t="inlineStr">
        <is>
          <t>Fraud Detection Scheduler flags anomalous transaction</t>
        </is>
      </c>
      <c r="D11" s="67" t="inlineStr">
        <is>
          <t>AC002</t>
        </is>
      </c>
      <c r="E11" s="67" t="inlineStr">
        <is>
          <t>2</t>
        </is>
      </c>
      <c r="F11" s="67" t="inlineStr">
        <is>
          <t>Action</t>
        </is>
      </c>
      <c r="G11" s="67" t="inlineStr">
        <is>
          <t>System freezes transaction pending review</t>
        </is>
      </c>
      <c r="H11" s="66" t="inlineStr">
        <is>
          <t>AC004</t>
        </is>
      </c>
      <c r="I11" s="67" t="inlineStr">
        <is>
          <t>Transaction status: FROZEN</t>
        </is>
      </c>
    </row>
    <row r="12" ht="21.75" customHeight="1" s="52">
      <c r="A12" s="65" t="inlineStr">
        <is>
          <t>WF002</t>
        </is>
      </c>
      <c r="B12" s="58" t="inlineStr">
        <is>
          <t>Fraud Alert Processing</t>
        </is>
      </c>
      <c r="C12" s="58" t="inlineStr">
        <is>
          <t>Fraud Detection Scheduler flags anomalous transaction</t>
        </is>
      </c>
      <c r="D12" s="58" t="inlineStr">
        <is>
          <t>AC002</t>
        </is>
      </c>
      <c r="E12" s="58" t="inlineStr">
        <is>
          <t>3</t>
        </is>
      </c>
      <c r="F12" s="58" t="inlineStr">
        <is>
          <t>Action</t>
        </is>
      </c>
      <c r="G12" s="58" t="inlineStr">
        <is>
          <t>Notify Payment Operations Manager via dashboard + email</t>
        </is>
      </c>
      <c r="H12" s="65" t="inlineStr">
        <is>
          <t>AC002</t>
        </is>
      </c>
      <c r="I12" s="58" t="inlineStr">
        <is>
          <t>Alert assigned to queue</t>
        </is>
      </c>
    </row>
    <row r="13" ht="21.75" customHeight="1" s="52">
      <c r="A13" s="66" t="inlineStr">
        <is>
          <t>WF002</t>
        </is>
      </c>
      <c r="B13" s="67" t="inlineStr">
        <is>
          <t>Fraud Alert Processing</t>
        </is>
      </c>
      <c r="C13" s="67" t="inlineStr">
        <is>
          <t>Fraud Detection Scheduler flags anomalous transaction</t>
        </is>
      </c>
      <c r="D13" s="67" t="inlineStr">
        <is>
          <t>AC002</t>
        </is>
      </c>
      <c r="E13" s="67" t="inlineStr">
        <is>
          <t>4</t>
        </is>
      </c>
      <c r="F13" s="67" t="inlineStr">
        <is>
          <t>Decision</t>
        </is>
      </c>
      <c r="G13" s="67" t="inlineStr">
        <is>
          <t>Is transaction confirmed fraudulent?</t>
        </is>
      </c>
      <c r="H13" s="66" t="inlineStr">
        <is>
          <t>AC002</t>
        </is>
      </c>
      <c r="I13" s="67" t="inlineStr">
        <is>
          <t>Yes: block + report / No: release</t>
        </is>
      </c>
    </row>
    <row r="14" ht="21.75" customHeight="1" s="52">
      <c r="A14" s="65" t="inlineStr">
        <is>
          <t>WF002</t>
        </is>
      </c>
      <c r="B14" s="58" t="inlineStr">
        <is>
          <t>Fraud Alert Processing</t>
        </is>
      </c>
      <c r="C14" s="58" t="inlineStr">
        <is>
          <t>Fraud Detection Scheduler flags anomalous transaction</t>
        </is>
      </c>
      <c r="D14" s="58" t="inlineStr">
        <is>
          <t>AC002</t>
        </is>
      </c>
      <c r="E14" s="58" t="inlineStr">
        <is>
          <t>5</t>
        </is>
      </c>
      <c r="F14" s="58" t="inlineStr">
        <is>
          <t>Action</t>
        </is>
      </c>
      <c r="G14" s="58" t="inlineStr">
        <is>
          <t>If fraud confirmed: block card + file SAR per BR006</t>
        </is>
      </c>
      <c r="H14" s="65" t="inlineStr">
        <is>
          <t>AC001</t>
        </is>
      </c>
      <c r="I14" s="58" t="inlineStr">
        <is>
          <t>SAR filed within 24 hours</t>
        </is>
      </c>
    </row>
    <row r="15" ht="21.75" customHeight="1" s="52">
      <c r="A15" s="66" t="inlineStr">
        <is>
          <t>WF002</t>
        </is>
      </c>
      <c r="B15" s="67" t="inlineStr">
        <is>
          <t>Fraud Alert Processing</t>
        </is>
      </c>
      <c r="C15" s="67" t="inlineStr">
        <is>
          <t>Fraud Detection Scheduler flags anomalous transaction</t>
        </is>
      </c>
      <c r="D15" s="67" t="inlineStr">
        <is>
          <t>AC002</t>
        </is>
      </c>
      <c r="E15" s="67" t="inlineStr">
        <is>
          <t>6</t>
        </is>
      </c>
      <c r="F15" s="67" t="inlineStr">
        <is>
          <t>End</t>
        </is>
      </c>
      <c r="G15" s="67" t="inlineStr">
        <is>
          <t>Case closed with resolution and audit trail</t>
        </is>
      </c>
      <c r="H15" s="66" t="inlineStr">
        <is>
          <t>AC002</t>
        </is>
      </c>
      <c r="I15" s="67" t="inlineStr">
        <is>
          <t>Resolution logged</t>
        </is>
      </c>
    </row>
    <row r="16" ht="21.75" customHeight="1" s="52">
      <c r="A16" s="69" t="inlineStr">
        <is>
          <t>WF003</t>
        </is>
      </c>
      <c r="B16" s="70" t="inlineStr">
        <is>
          <t>TPP Account Access (Open Banking)</t>
        </is>
      </c>
      <c r="C16" s="70" t="inlineStr">
        <is>
          <t>TPP requests account data via Open Banking API</t>
        </is>
      </c>
      <c r="D16" s="70" t="inlineStr">
        <is>
          <t>AC007</t>
        </is>
      </c>
      <c r="E16" s="70" t="inlineStr">
        <is>
          <t>1</t>
        </is>
      </c>
      <c r="F16" s="70" t="inlineStr">
        <is>
          <t>Start</t>
        </is>
      </c>
      <c r="G16" s="70" t="inlineStr">
        <is>
          <t>TPP sends access request with consent token</t>
        </is>
      </c>
      <c r="H16" s="69" t="inlineStr">
        <is>
          <t>AC007</t>
        </is>
      </c>
      <c r="I16" s="70" t="inlineStr">
        <is>
          <t>Request received</t>
        </is>
      </c>
    </row>
    <row r="17" ht="21.75" customHeight="1" s="52">
      <c r="A17" s="66" t="inlineStr">
        <is>
          <t>WF003</t>
        </is>
      </c>
      <c r="B17" s="67" t="inlineStr">
        <is>
          <t>TPP Account Access (Open Banking)</t>
        </is>
      </c>
      <c r="C17" s="67" t="inlineStr">
        <is>
          <t>TPP requests account data via Open Banking API</t>
        </is>
      </c>
      <c r="D17" s="67" t="inlineStr">
        <is>
          <t>AC007</t>
        </is>
      </c>
      <c r="E17" s="67" t="inlineStr">
        <is>
          <t>2</t>
        </is>
      </c>
      <c r="F17" s="67" t="inlineStr">
        <is>
          <t>Decision</t>
        </is>
      </c>
      <c r="G17" s="67" t="inlineStr">
        <is>
          <t>Is consent token valid and not expired (BR008)?</t>
        </is>
      </c>
      <c r="H17" s="66" t="inlineStr">
        <is>
          <t>AC007</t>
        </is>
      </c>
      <c r="I17" s="67" t="inlineStr">
        <is>
          <t>Valid: proceed / Invalid: 401</t>
        </is>
      </c>
    </row>
    <row r="18" ht="21.75" customHeight="1" s="52">
      <c r="A18" s="65" t="inlineStr">
        <is>
          <t>WF003</t>
        </is>
      </c>
      <c r="B18" s="58" t="inlineStr">
        <is>
          <t>TPP Account Access (Open Banking)</t>
        </is>
      </c>
      <c r="C18" s="58" t="inlineStr">
        <is>
          <t>TPP requests account data via Open Banking API</t>
        </is>
      </c>
      <c r="D18" s="58" t="inlineStr">
        <is>
          <t>AC007</t>
        </is>
      </c>
      <c r="E18" s="58" t="inlineStr">
        <is>
          <t>3</t>
        </is>
      </c>
      <c r="F18" s="58" t="inlineStr">
        <is>
          <t>Action</t>
        </is>
      </c>
      <c r="G18" s="58" t="inlineStr">
        <is>
          <t>Validate TPP registration against PSD3 registry (BR009)</t>
        </is>
      </c>
      <c r="H18" s="65" t="inlineStr">
        <is>
          <t>AC005</t>
        </is>
      </c>
      <c r="I18" s="58" t="inlineStr">
        <is>
          <t>TPP verified</t>
        </is>
      </c>
    </row>
    <row r="19" ht="21.75" customHeight="1" s="52">
      <c r="A19" s="66" t="inlineStr">
        <is>
          <t>WF003</t>
        </is>
      </c>
      <c r="B19" s="67" t="inlineStr">
        <is>
          <t>TPP Account Access (Open Banking)</t>
        </is>
      </c>
      <c r="C19" s="67" t="inlineStr">
        <is>
          <t>TPP requests account data via Open Banking API</t>
        </is>
      </c>
      <c r="D19" s="67" t="inlineStr">
        <is>
          <t>AC007</t>
        </is>
      </c>
      <c r="E19" s="67" t="inlineStr">
        <is>
          <t>4</t>
        </is>
      </c>
      <c r="F19" s="67" t="inlineStr">
        <is>
          <t>Subprocess</t>
        </is>
      </c>
      <c r="G19" s="67" t="inlineStr">
        <is>
          <t>Retrieve account data from CBS with IBAN non-discrimination (BR010)</t>
        </is>
      </c>
      <c r="H19" s="66" t="inlineStr">
        <is>
          <t>AC004</t>
        </is>
      </c>
      <c r="I19" s="67" t="inlineStr">
        <is>
          <t>Account data retrieved</t>
        </is>
      </c>
    </row>
    <row r="20" ht="21.75" customHeight="1" s="52">
      <c r="A20" s="65" t="inlineStr">
        <is>
          <t>WF003</t>
        </is>
      </c>
      <c r="B20" s="58" t="inlineStr">
        <is>
          <t>TPP Account Access (Open Banking)</t>
        </is>
      </c>
      <c r="C20" s="58" t="inlineStr">
        <is>
          <t>TPP requests account data via Open Banking API</t>
        </is>
      </c>
      <c r="D20" s="58" t="inlineStr">
        <is>
          <t>AC007</t>
        </is>
      </c>
      <c r="E20" s="58" t="inlineStr">
        <is>
          <t>5</t>
        </is>
      </c>
      <c r="F20" s="58" t="inlineStr">
        <is>
          <t>Action</t>
        </is>
      </c>
      <c r="G20" s="58" t="inlineStr">
        <is>
          <t>Apply data minimisation filter per consent scope</t>
        </is>
      </c>
      <c r="H20" s="65" t="inlineStr">
        <is>
          <t>AC007</t>
        </is>
      </c>
      <c r="I20" s="58" t="inlineStr">
        <is>
          <t>Filtered response</t>
        </is>
      </c>
    </row>
    <row r="21" ht="21.75" customHeight="1" s="52">
      <c r="A21" s="66" t="inlineStr">
        <is>
          <t>WF003</t>
        </is>
      </c>
      <c r="B21" s="67" t="inlineStr">
        <is>
          <t>TPP Account Access (Open Banking)</t>
        </is>
      </c>
      <c r="C21" s="67" t="inlineStr">
        <is>
          <t>TPP requests account data via Open Banking API</t>
        </is>
      </c>
      <c r="D21" s="67" t="inlineStr">
        <is>
          <t>AC007</t>
        </is>
      </c>
      <c r="E21" s="67" t="inlineStr">
        <is>
          <t>6</t>
        </is>
      </c>
      <c r="F21" s="67" t="inlineStr">
        <is>
          <t>End</t>
        </is>
      </c>
      <c r="G21" s="67" t="inlineStr">
        <is>
          <t>Return data to TPP with audit log</t>
        </is>
      </c>
      <c r="H21" s="66" t="inlineStr">
        <is>
          <t>AC007</t>
        </is>
      </c>
      <c r="I21" s="67" t="inlineStr">
        <is>
          <t>200 OK + audit entry</t>
        </is>
      </c>
    </row>
  </sheetData>
  <autoFilter ref="A1:I22"/>
  <conditionalFormatting sqref="F2:F22">
    <cfRule type="cellIs" rank="0" priority="2" equalAverage="0" operator="equal" aboveAverage="0" dxfId="13" text="" percent="0" bottom="0">
      <formula>"Decision"</formula>
    </cfRule>
    <cfRule type="cellIs" rank="0" priority="3" equalAverage="0" operator="equal" aboveAverage="0" dxfId="14" text="" percent="0" bottom="0">
      <formula>"Start"</formula>
    </cfRule>
    <cfRule type="cellIs" rank="0" priority="4" equalAverage="0" operator="equal" aboveAverage="0" dxfId="15" text="" percent="0" bottom="0">
      <formula>"End"</formula>
    </cfRule>
  </conditionalFormatting>
  <dataValidations count="1">
    <dataValidation sqref="F2:F22" showDropDown="0" showInputMessage="0" showErrorMessage="0" allowBlank="1" errorTitle="Invalid value" error="Please select a valid option" type="list" errorStyle="stop" operator="between">
      <formula1>"Action,Decision,Subprocess,Start,End,Parallel Gateway,Error/Exception"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6D28D9"/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22" customWidth="1" style="51" min="2" max="2"/>
    <col width="14" customWidth="1" style="51" min="3" max="3"/>
    <col width="10" customWidth="1" style="51" min="4" max="4"/>
    <col width="40" customWidth="1" style="51" min="5" max="6"/>
    <col width="35" customWidth="1" style="51" min="7" max="7"/>
    <col width="16" customWidth="1" style="51" min="8" max="8"/>
    <col width="10" customWidth="1" style="51" min="9" max="9"/>
  </cols>
  <sheetData>
    <row r="1" ht="31.5" customHeight="1" s="52">
      <c r="A1" s="71" t="inlineStr">
        <is>
          <t>ID</t>
        </is>
      </c>
      <c r="B1" s="71" t="inlineStr">
        <is>
          <t>Name</t>
        </is>
      </c>
      <c r="C1" s="71" t="inlineStr">
        <is>
          <t>Category</t>
        </is>
      </c>
      <c r="D1" s="71" t="inlineStr">
        <is>
          <t>Priority</t>
        </is>
      </c>
      <c r="E1" s="71" t="inlineStr">
        <is>
          <t>Condition</t>
        </is>
      </c>
      <c r="F1" s="71" t="inlineStr">
        <is>
          <t>Action</t>
        </is>
      </c>
      <c r="G1" s="71" t="inlineStr">
        <is>
          <t>Exception</t>
        </is>
      </c>
      <c r="H1" s="71" t="inlineStr">
        <is>
          <t>Source</t>
        </is>
      </c>
      <c r="I1" s="71" t="inlineStr">
        <is>
          <t>RelatedReq</t>
        </is>
      </c>
    </row>
    <row r="2" ht="21.75" customHeight="1" s="52">
      <c r="A2" s="65" t="inlineStr">
        <is>
          <t>BR001</t>
        </is>
      </c>
      <c r="B2" s="58" t="inlineStr">
        <is>
          <t>Strong Customer Authentication</t>
        </is>
      </c>
      <c r="C2" s="58" t="inlineStr">
        <is>
          <t>Authorization</t>
        </is>
      </c>
      <c r="D2" s="58" t="inlineStr">
        <is>
          <t>Critical</t>
        </is>
      </c>
      <c r="E2" s="58" t="inlineStr">
        <is>
          <t>Payment initiation or account access requested</t>
        </is>
      </c>
      <c r="F2" s="58" t="inlineStr">
        <is>
          <t>Apply SCA: minimum 2 of 3 factors (knowledge + possession + inherence)</t>
        </is>
      </c>
      <c r="G2" s="58" t="inlineStr">
        <is>
          <t>Exemptions: low-value (&lt;30 EUR) or trusted beneficiary per BR004</t>
        </is>
      </c>
      <c r="H2" s="58" t="inlineStr">
        <is>
          <t>PSD3 Art.97</t>
        </is>
      </c>
      <c r="I2" s="65" t="inlineStr">
        <is>
          <t>REQ-001</t>
        </is>
      </c>
    </row>
    <row r="3" ht="21.75" customHeight="1" s="52">
      <c r="A3" s="66" t="inlineStr">
        <is>
          <t>BR002</t>
        </is>
      </c>
      <c r="B3" s="67" t="inlineStr">
        <is>
          <t>SCA Timeout</t>
        </is>
      </c>
      <c r="C3" s="67" t="inlineStr">
        <is>
          <t>Validation</t>
        </is>
      </c>
      <c r="D3" s="67" t="inlineStr">
        <is>
          <t>High</t>
        </is>
      </c>
      <c r="E3" s="67" t="inlineStr">
        <is>
          <t>SCA challenge issued to customer</t>
        </is>
      </c>
      <c r="F3" s="67" t="inlineStr">
        <is>
          <t>Customer must complete authentication within 300 seconds (5 minutes)</t>
        </is>
      </c>
      <c r="G3" s="67" t="inlineStr">
        <is>
          <t>After timeout: cancel transaction and log attempt with reason code TIMEOUT</t>
        </is>
      </c>
      <c r="H3" s="67" t="inlineStr">
        <is>
          <t>PSD3 RTS Art.4</t>
        </is>
      </c>
      <c r="I3" s="66" t="inlineStr">
        <is>
          <t>REQ-001</t>
        </is>
      </c>
    </row>
    <row r="4" ht="21.75" customHeight="1" s="52">
      <c r="A4" s="65" t="inlineStr">
        <is>
          <t>BR003</t>
        </is>
      </c>
      <c r="B4" s="58" t="inlineStr">
        <is>
          <t>Transaction Velocity Check</t>
        </is>
      </c>
      <c r="C4" s="58" t="inlineStr">
        <is>
          <t>Compliance</t>
        </is>
      </c>
      <c r="D4" s="58" t="inlineStr">
        <is>
          <t>Critical</t>
        </is>
      </c>
      <c r="E4" s="58" t="inlineStr">
        <is>
          <t>Customer initiates payment</t>
        </is>
      </c>
      <c r="F4" s="58" t="inlineStr">
        <is>
          <t>Check: max 5 consecutive low-value exemptions OR cumulative &lt;150 EUR since last SCA</t>
        </is>
      </c>
      <c r="G4" s="58" t="inlineStr">
        <is>
          <t>If threshold breached: force SCA regardless of transaction value</t>
        </is>
      </c>
      <c r="H4" s="58" t="inlineStr">
        <is>
          <t>PSD3 Art.98</t>
        </is>
      </c>
      <c r="I4" s="65" t="inlineStr">
        <is>
          <t>REQ-002</t>
        </is>
      </c>
    </row>
    <row r="5" ht="21.75" customHeight="1" s="52">
      <c r="A5" s="66" t="inlineStr">
        <is>
          <t>BR004</t>
        </is>
      </c>
      <c r="B5" s="67" t="inlineStr">
        <is>
          <t>Trusted Beneficiary Whitelist</t>
        </is>
      </c>
      <c r="C5" s="67" t="inlineStr">
        <is>
          <t>Authorization</t>
        </is>
      </c>
      <c r="D5" s="67" t="inlineStr">
        <is>
          <t>Medium</t>
        </is>
      </c>
      <c r="E5" s="67" t="inlineStr">
        <is>
          <t>Customer adds beneficiary to trusted list</t>
        </is>
      </c>
      <c r="F5" s="67" t="inlineStr">
        <is>
          <t>Require SCA to add. Once added exempt from SCA for 90 days. Max 20 trusted beneficiaries per account</t>
        </is>
      </c>
      <c r="G5" s="67" t="inlineStr">
        <is>
          <t>If list full: prompt customer to remove one before adding. Log all changes</t>
        </is>
      </c>
      <c r="H5" s="67" t="inlineStr">
        <is>
          <t>PSD3 Art.97(6)</t>
        </is>
      </c>
      <c r="I5" s="66" t="inlineStr">
        <is>
          <t>REQ-003</t>
        </is>
      </c>
    </row>
    <row r="6" ht="21.75" customHeight="1" s="52">
      <c r="A6" s="65" t="inlineStr">
        <is>
          <t>BR005</t>
        </is>
      </c>
      <c r="B6" s="58" t="inlineStr">
        <is>
          <t>IBAN Non-Discrimination</t>
        </is>
      </c>
      <c r="C6" s="58" t="inlineStr">
        <is>
          <t>Compliance</t>
        </is>
      </c>
      <c r="D6" s="58" t="inlineStr">
        <is>
          <t>Critical</t>
        </is>
      </c>
      <c r="E6" s="58" t="inlineStr">
        <is>
          <t>SEPA payment submitted with EU IBAN</t>
        </is>
      </c>
      <c r="F6" s="58" t="inlineStr">
        <is>
          <t>Process payment regardless of IBAN country within SEPA zone. No additional charges for cross-border EUR payments</t>
        </is>
      </c>
      <c r="G6" s="58" t="inlineStr">
        <is>
          <t>Reject only if IBAN format invalid per ISO 13616. Log any country-based rejection for audit</t>
        </is>
      </c>
      <c r="H6" s="58" t="inlineStr">
        <is>
          <t>PSD3 Art.9</t>
        </is>
      </c>
      <c r="I6" s="65" t="inlineStr">
        <is>
          <t>REQ-004</t>
        </is>
      </c>
    </row>
    <row r="7" ht="21.75" customHeight="1" s="52">
      <c r="A7" s="66" t="inlineStr">
        <is>
          <t>BR006</t>
        </is>
      </c>
      <c r="B7" s="67" t="inlineStr">
        <is>
          <t>Suspicious Activity Reporting</t>
        </is>
      </c>
      <c r="C7" s="67" t="inlineStr">
        <is>
          <t>Compliance</t>
        </is>
      </c>
      <c r="D7" s="67" t="inlineStr">
        <is>
          <t>Critical</t>
        </is>
      </c>
      <c r="E7" s="67" t="inlineStr">
        <is>
          <t>Transaction flagged by fraud detection (score &gt; 0.85)</t>
        </is>
      </c>
      <c r="F7" s="67" t="inlineStr">
        <is>
          <t>File SAR with national FIU within 24 hours. Freeze funds. Do NOT notify customer of SAR filing</t>
        </is>
      </c>
      <c r="G7" s="67" t="inlineStr">
        <is>
          <t>If unable to file within 24h: escalate to Compliance Officer (AC001) immediately</t>
        </is>
      </c>
      <c r="H7" s="67" t="inlineStr">
        <is>
          <t>AML6 Art.33</t>
        </is>
      </c>
      <c r="I7" s="66" t="inlineStr">
        <is>
          <t>REQ-005</t>
        </is>
      </c>
    </row>
    <row r="8" ht="21.75" customHeight="1" s="52">
      <c r="A8" s="65" t="inlineStr">
        <is>
          <t>BR007</t>
        </is>
      </c>
      <c r="B8" s="58" t="inlineStr">
        <is>
          <t>Real-Time Fraud Scoring</t>
        </is>
      </c>
      <c r="C8" s="58" t="inlineStr">
        <is>
          <t>Workflow</t>
        </is>
      </c>
      <c r="D8" s="58" t="inlineStr">
        <is>
          <t>High</t>
        </is>
      </c>
      <c r="E8" s="58" t="inlineStr">
        <is>
          <t>Transaction enters payment pipeline</t>
        </is>
      </c>
      <c r="F8" s="58" t="inlineStr">
        <is>
          <t>Apply ML-based scoring model. Transactions &gt;0.85 score: auto-freeze. 0.65-0.85: queue for manual review. &lt;0.65: proceed</t>
        </is>
      </c>
      <c r="G8" s="58" t="inlineStr">
        <is>
          <t>If scoring engine unavailable: apply rule-based fallback (amount &gt;10K + new beneficiary = flag)</t>
        </is>
      </c>
      <c r="H8" s="58" t="inlineStr">
        <is>
          <t>PSD3 Art.83</t>
        </is>
      </c>
      <c r="I8" s="65" t="inlineStr">
        <is>
          <t>REQ-006</t>
        </is>
      </c>
    </row>
    <row r="9" ht="21.75" customHeight="1" s="52">
      <c r="A9" s="66" t="inlineStr">
        <is>
          <t>BR008</t>
        </is>
      </c>
      <c r="B9" s="67" t="inlineStr">
        <is>
          <t>Consent Token Validation</t>
        </is>
      </c>
      <c r="C9" s="67" t="inlineStr">
        <is>
          <t>Authorization</t>
        </is>
      </c>
      <c r="D9" s="67" t="inlineStr">
        <is>
          <t>Critical</t>
        </is>
      </c>
      <c r="E9" s="67" t="inlineStr">
        <is>
          <t>TPP presents access token for Open Banking API</t>
        </is>
      </c>
      <c r="F9" s="67" t="inlineStr">
        <is>
          <t>Validate: token not expired + scope matches request + customer has not revoked consent</t>
        </is>
      </c>
      <c r="G9" s="67" t="inlineStr">
        <is>
          <t>If invalid: return 401 Unauthorized with error code CONSENT_INVALID</t>
        </is>
      </c>
      <c r="H9" s="67" t="inlineStr">
        <is>
          <t>PSD3 Art.36</t>
        </is>
      </c>
      <c r="I9" s="66" t="inlineStr">
        <is>
          <t>REQ-007</t>
        </is>
      </c>
    </row>
    <row r="10" ht="21.75" customHeight="1" s="52">
      <c r="A10" s="65" t="inlineStr">
        <is>
          <t>BR009</t>
        </is>
      </c>
      <c r="B10" s="58" t="inlineStr">
        <is>
          <t>TPP Registry Verification</t>
        </is>
      </c>
      <c r="C10" s="58" t="inlineStr">
        <is>
          <t>Compliance</t>
        </is>
      </c>
      <c r="D10" s="58" t="inlineStr">
        <is>
          <t>Critical</t>
        </is>
      </c>
      <c r="E10" s="58" t="inlineStr">
        <is>
          <t>TPP requests API access</t>
        </is>
      </c>
      <c r="F10" s="58" t="inlineStr">
        <is>
          <t>Verify TPP registration against national competent authority register. Check eIDAS certificate validity</t>
        </is>
      </c>
      <c r="G10" s="58" t="inlineStr">
        <is>
          <t>If unregistered or certificate expired: return 403 Forbidden. Log attempt for regulator</t>
        </is>
      </c>
      <c r="H10" s="58" t="inlineStr">
        <is>
          <t>PSD3 Art.35</t>
        </is>
      </c>
      <c r="I10" s="65" t="inlineStr">
        <is>
          <t>REQ-007</t>
        </is>
      </c>
    </row>
    <row r="11" ht="21.75" customHeight="1" s="52">
      <c r="A11" s="66" t="inlineStr">
        <is>
          <t>BR010</t>
        </is>
      </c>
      <c r="B11" s="67" t="inlineStr">
        <is>
          <t>Account Data Non-Discrimination</t>
        </is>
      </c>
      <c r="C11" s="67" t="inlineStr">
        <is>
          <t>Compliance</t>
        </is>
      </c>
      <c r="D11" s="67" t="inlineStr">
        <is>
          <t>High</t>
        </is>
      </c>
      <c r="E11" s="67" t="inlineStr">
        <is>
          <t>TPP requests account information via API</t>
        </is>
      </c>
      <c r="F11" s="67" t="inlineStr">
        <is>
          <t>Provide same data quality and availability as the bank's own digital channels. No artificial degradation</t>
        </is>
      </c>
      <c r="G11" s="67" t="inlineStr">
        <is>
          <t>If API performance degrades &gt;3x vs online banking: auto-alert to Compliance Officer</t>
        </is>
      </c>
      <c r="H11" s="67" t="inlineStr">
        <is>
          <t>PSD3 Art.46</t>
        </is>
      </c>
      <c r="I11" s="66" t="inlineStr">
        <is>
          <t>REQ-008</t>
        </is>
      </c>
    </row>
  </sheetData>
  <autoFilter ref="A1:I12"/>
  <conditionalFormatting sqref="D2:D12">
    <cfRule type="cellIs" rank="0" priority="2" equalAverage="0" operator="equal" aboveAverage="0" dxfId="19" text="" percent="0" bottom="0">
      <formula>"Critical"</formula>
    </cfRule>
    <cfRule type="cellIs" rank="0" priority="3" equalAverage="0" operator="equal" aboveAverage="0" dxfId="13" text="" percent="0" bottom="0">
      <formula>"High"</formula>
    </cfRule>
  </conditionalFormatting>
  <dataValidations count="2">
    <dataValidation sqref="C2:C12" showDropDown="0" showInputMessage="0" showErrorMessage="0" allowBlank="1" errorTitle="Invalid value" error="Please select a valid option" type="list" errorStyle="stop" operator="between">
      <formula1>"Validation,Calculation,Authorization,Workflow,Data Quality,Compliance,Integration,Notification"</formula1>
      <formula2>0</formula2>
    </dataValidation>
    <dataValidation sqref="D2:D12" showDropDown="0" showInputMessage="0" showErrorMessage="0" allowBlank="1" errorTitle="Invalid value" error="Please select a valid option" type="list" errorStyle="stop" operator="between">
      <formula1>"Critical,High,Medium,Low"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369A1"/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1" min="1" max="1"/>
    <col width="18" customWidth="1" style="51" min="2" max="2"/>
    <col width="28" customWidth="1" style="51" min="3" max="3"/>
    <col width="18" customWidth="1" style="51" min="4" max="4"/>
    <col width="10" customWidth="1" style="51" min="5" max="7"/>
    <col width="8" customWidth="1" style="51" min="8" max="8"/>
    <col width="16" customWidth="1" style="51" min="9" max="9"/>
    <col width="12" customWidth="1" style="51" min="10" max="10"/>
    <col width="30" customWidth="1" style="51" min="11" max="11"/>
  </cols>
  <sheetData>
    <row r="1" ht="25.5" customHeight="1" s="52">
      <c r="A1" s="72" t="inlineStr">
        <is>
          <t>Payment Transaction: 21 fields | 17 ok | 4 TBI | 0 Gap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5" t="n"/>
    </row>
    <row r="2" ht="31.5" customHeight="1" s="52">
      <c r="A2" s="73" t="inlineStr">
        <is>
          <t>Field_Name</t>
        </is>
      </c>
      <c r="B2" s="73" t="inlineStr">
        <is>
          <t>Label</t>
        </is>
      </c>
      <c r="C2" s="73" t="inlineStr">
        <is>
          <t>Source_Path</t>
        </is>
      </c>
      <c r="D2" s="73" t="inlineStr">
        <is>
          <t>Target_Field</t>
        </is>
      </c>
      <c r="E2" s="73" t="inlineStr">
        <is>
          <t>Data_Type</t>
        </is>
      </c>
      <c r="F2" s="73" t="inlineStr">
        <is>
          <t>Edit_Mode</t>
        </is>
      </c>
      <c r="G2" s="73" t="inlineStr">
        <is>
          <t>Mandatory</t>
        </is>
      </c>
      <c r="H2" s="73" t="inlineStr">
        <is>
          <t>BR_Ref</t>
        </is>
      </c>
      <c r="I2" s="73" t="inlineStr">
        <is>
          <t>Sample_Value</t>
        </is>
      </c>
      <c r="J2" s="73" t="inlineStr">
        <is>
          <t>Migration_Status</t>
        </is>
      </c>
      <c r="K2" s="73" t="inlineStr">
        <is>
          <t>Compliance_Note</t>
        </is>
      </c>
    </row>
    <row r="3" ht="21.75" customHeight="1" s="52">
      <c r="A3" s="58" t="inlineStr">
        <is>
          <t>transaction_id</t>
        </is>
      </c>
      <c r="B3" s="58" t="inlineStr">
        <is>
          <t>Transaction ID</t>
        </is>
      </c>
      <c r="C3" s="58" t="inlineStr">
        <is>
          <t>payment.transaction_id</t>
        </is>
      </c>
      <c r="D3" s="58" t="inlineStr">
        <is>
          <t>txn_id</t>
        </is>
      </c>
      <c r="E3" s="58" t="inlineStr">
        <is>
          <t>String</t>
        </is>
      </c>
      <c r="F3" s="58" t="inlineStr">
        <is>
          <t>System</t>
        </is>
      </c>
      <c r="G3" s="58" t="inlineStr">
        <is>
          <t>Y</t>
        </is>
      </c>
      <c r="H3" s="58" t="n"/>
      <c r="I3" s="58" t="inlineStr">
        <is>
          <t>TXN-2026-00847291</t>
        </is>
      </c>
      <c r="J3" s="74" t="inlineStr">
        <is>
          <t>ok</t>
        </is>
      </c>
      <c r="K3" s="58" t="inlineStr">
        <is>
          <t>Unique per payment</t>
        </is>
      </c>
    </row>
    <row r="4" ht="21.75" customHeight="1" s="52">
      <c r="A4" s="67" t="inlineStr">
        <is>
          <t>debtor_iban</t>
        </is>
      </c>
      <c r="B4" s="67" t="inlineStr">
        <is>
          <t>Debtor IBAN</t>
        </is>
      </c>
      <c r="C4" s="67" t="inlineStr">
        <is>
          <t>payment.debtor.iban</t>
        </is>
      </c>
      <c r="D4" s="67" t="inlineStr">
        <is>
          <t>debtor_iban</t>
        </is>
      </c>
      <c r="E4" s="67" t="inlineStr">
        <is>
          <t>String</t>
        </is>
      </c>
      <c r="F4" s="67" t="inlineStr">
        <is>
          <t>Read</t>
        </is>
      </c>
      <c r="G4" s="67" t="inlineStr">
        <is>
          <t>Y</t>
        </is>
      </c>
      <c r="H4" s="66" t="inlineStr">
        <is>
          <t>BR005</t>
        </is>
      </c>
      <c r="I4" s="67" t="inlineStr">
        <is>
          <t>BE68539007547034</t>
        </is>
      </c>
      <c r="J4" s="74" t="inlineStr">
        <is>
          <t>ok</t>
        </is>
      </c>
      <c r="K4" s="67" t="inlineStr">
        <is>
          <t>GDPR - mask in logs</t>
        </is>
      </c>
    </row>
    <row r="5" ht="21.75" customHeight="1" s="52">
      <c r="A5" s="58" t="inlineStr">
        <is>
          <t>creditor_iban</t>
        </is>
      </c>
      <c r="B5" s="58" t="inlineStr">
        <is>
          <t>Creditor IBAN</t>
        </is>
      </c>
      <c r="C5" s="58" t="inlineStr">
        <is>
          <t>payment.creditor.iban</t>
        </is>
      </c>
      <c r="D5" s="58" t="inlineStr">
        <is>
          <t>creditor_iban</t>
        </is>
      </c>
      <c r="E5" s="58" t="inlineStr">
        <is>
          <t>String</t>
        </is>
      </c>
      <c r="F5" s="58" t="inlineStr">
        <is>
          <t>Edit</t>
        </is>
      </c>
      <c r="G5" s="58" t="inlineStr">
        <is>
          <t>Y</t>
        </is>
      </c>
      <c r="H5" s="65" t="inlineStr">
        <is>
          <t>BR005</t>
        </is>
      </c>
      <c r="I5" s="58" t="inlineStr">
        <is>
          <t>DE89370400440532013000</t>
        </is>
      </c>
      <c r="J5" s="74" t="inlineStr">
        <is>
          <t>ok</t>
        </is>
      </c>
      <c r="K5" s="58" t="inlineStr">
        <is>
          <t>IBAN non-discrimination applies</t>
        </is>
      </c>
    </row>
    <row r="6" ht="21.75" customHeight="1" s="52">
      <c r="A6" s="67" t="inlineStr">
        <is>
          <t>amount</t>
        </is>
      </c>
      <c r="B6" s="67" t="inlineStr">
        <is>
          <t>Amount</t>
        </is>
      </c>
      <c r="C6" s="67" t="inlineStr">
        <is>
          <t>payment.amount.value</t>
        </is>
      </c>
      <c r="D6" s="67" t="inlineStr">
        <is>
          <t>amount</t>
        </is>
      </c>
      <c r="E6" s="67" t="inlineStr">
        <is>
          <t>Decimal</t>
        </is>
      </c>
      <c r="F6" s="67" t="inlineStr">
        <is>
          <t>Edit</t>
        </is>
      </c>
      <c r="G6" s="67" t="inlineStr">
        <is>
          <t>Y</t>
        </is>
      </c>
      <c r="H6" s="67" t="n"/>
      <c r="I6" s="67" t="inlineStr">
        <is>
          <t>1250.00</t>
        </is>
      </c>
      <c r="J6" s="74" t="inlineStr">
        <is>
          <t>ok</t>
        </is>
      </c>
      <c r="K6" s="67" t="n"/>
    </row>
    <row r="7" ht="21.75" customHeight="1" s="52">
      <c r="A7" s="58" t="inlineStr">
        <is>
          <t>currency</t>
        </is>
      </c>
      <c r="B7" s="58" t="inlineStr">
        <is>
          <t>Currency</t>
        </is>
      </c>
      <c r="C7" s="58" t="inlineStr">
        <is>
          <t>payment.amount.currency</t>
        </is>
      </c>
      <c r="D7" s="58" t="inlineStr">
        <is>
          <t>currency</t>
        </is>
      </c>
      <c r="E7" s="58" t="inlineStr">
        <is>
          <t>String</t>
        </is>
      </c>
      <c r="F7" s="58" t="inlineStr">
        <is>
          <t>Edit</t>
        </is>
      </c>
      <c r="G7" s="58" t="inlineStr">
        <is>
          <t>Y</t>
        </is>
      </c>
      <c r="H7" s="58" t="n"/>
      <c r="I7" s="58" t="inlineStr">
        <is>
          <t>EUR</t>
        </is>
      </c>
      <c r="J7" s="74" t="inlineStr">
        <is>
          <t>ok</t>
        </is>
      </c>
      <c r="K7" s="58" t="inlineStr">
        <is>
          <t>Only EUR for SEPA</t>
        </is>
      </c>
    </row>
    <row r="8" ht="21.75" customHeight="1" s="52">
      <c r="A8" s="67" t="inlineStr">
        <is>
          <t>remittance_info</t>
        </is>
      </c>
      <c r="B8" s="67" t="inlineStr">
        <is>
          <t>Remittance Info</t>
        </is>
      </c>
      <c r="C8" s="67" t="inlineStr">
        <is>
          <t>payment.remittance_information</t>
        </is>
      </c>
      <c r="D8" s="67" t="inlineStr">
        <is>
          <t>remittance</t>
        </is>
      </c>
      <c r="E8" s="67" t="inlineStr">
        <is>
          <t>String</t>
        </is>
      </c>
      <c r="F8" s="67" t="inlineStr">
        <is>
          <t>Edit</t>
        </is>
      </c>
      <c r="G8" s="67" t="inlineStr">
        <is>
          <t>N</t>
        </is>
      </c>
      <c r="H8" s="67" t="n"/>
      <c r="I8" s="67" t="inlineStr">
        <is>
          <t>Invoice 2026-0412</t>
        </is>
      </c>
      <c r="J8" s="74" t="inlineStr">
        <is>
          <t>ok</t>
        </is>
      </c>
      <c r="K8" s="67" t="n"/>
    </row>
    <row r="9" ht="21.75" customHeight="1" s="52">
      <c r="A9" s="58" t="inlineStr">
        <is>
          <t>execution_date</t>
        </is>
      </c>
      <c r="B9" s="58" t="inlineStr">
        <is>
          <t>Execution Date</t>
        </is>
      </c>
      <c r="C9" s="58" t="inlineStr">
        <is>
          <t>payment.requested_execution_date</t>
        </is>
      </c>
      <c r="D9" s="58" t="inlineStr">
        <is>
          <t>exec_date</t>
        </is>
      </c>
      <c r="E9" s="58" t="inlineStr">
        <is>
          <t>Date</t>
        </is>
      </c>
      <c r="F9" s="58" t="inlineStr">
        <is>
          <t>Edit</t>
        </is>
      </c>
      <c r="G9" s="58" t="inlineStr">
        <is>
          <t>Y</t>
        </is>
      </c>
      <c r="H9" s="58" t="n"/>
      <c r="I9" s="58" t="inlineStr">
        <is>
          <t>2026-04-15</t>
        </is>
      </c>
      <c r="J9" s="74" t="inlineStr">
        <is>
          <t>ok</t>
        </is>
      </c>
      <c r="K9" s="58" t="n"/>
    </row>
    <row r="10" ht="21.75" customHeight="1" s="52">
      <c r="A10" s="67" t="inlineStr">
        <is>
          <t>sca_method</t>
        </is>
      </c>
      <c r="B10" s="67" t="inlineStr">
        <is>
          <t>SCA Method</t>
        </is>
      </c>
      <c r="C10" s="67" t="inlineStr">
        <is>
          <t>authentication.sca_method</t>
        </is>
      </c>
      <c r="D10" s="67" t="inlineStr">
        <is>
          <t>sca_method</t>
        </is>
      </c>
      <c r="E10" s="67" t="inlineStr">
        <is>
          <t>String</t>
        </is>
      </c>
      <c r="F10" s="67" t="inlineStr">
        <is>
          <t>System</t>
        </is>
      </c>
      <c r="G10" s="67" t="inlineStr">
        <is>
          <t>Y</t>
        </is>
      </c>
      <c r="H10" s="66" t="inlineStr">
        <is>
          <t>BR001</t>
        </is>
      </c>
      <c r="I10" s="67" t="inlineStr">
        <is>
          <t>BIOMETRIC</t>
        </is>
      </c>
      <c r="J10" s="74" t="inlineStr">
        <is>
          <t>ok</t>
        </is>
      </c>
      <c r="K10" s="67" t="inlineStr">
        <is>
          <t>knowledge/possession/inherence</t>
        </is>
      </c>
    </row>
    <row r="11" ht="21.75" customHeight="1" s="52">
      <c r="A11" s="58" t="inlineStr">
        <is>
          <t>sca_timestamp</t>
        </is>
      </c>
      <c r="B11" s="58" t="inlineStr">
        <is>
          <t>SCA Completion Time</t>
        </is>
      </c>
      <c r="C11" s="58" t="inlineStr">
        <is>
          <t>authentication.completed_at</t>
        </is>
      </c>
      <c r="D11" s="58" t="inlineStr">
        <is>
          <t>sca_time</t>
        </is>
      </c>
      <c r="E11" s="58" t="inlineStr">
        <is>
          <t>DateTime</t>
        </is>
      </c>
      <c r="F11" s="58" t="inlineStr">
        <is>
          <t>System</t>
        </is>
      </c>
      <c r="G11" s="58" t="inlineStr">
        <is>
          <t>Y</t>
        </is>
      </c>
      <c r="H11" s="65" t="inlineStr">
        <is>
          <t>BR002</t>
        </is>
      </c>
      <c r="I11" s="58" t="inlineStr">
        <is>
          <t>2026-04-15T10:32:45Z</t>
        </is>
      </c>
      <c r="J11" s="74" t="inlineStr">
        <is>
          <t>ok</t>
        </is>
      </c>
      <c r="K11" s="58" t="inlineStr">
        <is>
          <t>Must be within 300s of challenge</t>
        </is>
      </c>
    </row>
    <row r="12" ht="21.75" customHeight="1" s="52">
      <c r="A12" s="67" t="inlineStr">
        <is>
          <t>sca_exempt</t>
        </is>
      </c>
      <c r="B12" s="67" t="inlineStr">
        <is>
          <t>SCA Exemption Applied</t>
        </is>
      </c>
      <c r="C12" s="67" t="inlineStr">
        <is>
          <t>authentication.exemption_type</t>
        </is>
      </c>
      <c r="D12" s="67" t="inlineStr">
        <is>
          <t>sca_exempt</t>
        </is>
      </c>
      <c r="E12" s="67" t="inlineStr">
        <is>
          <t>String</t>
        </is>
      </c>
      <c r="F12" s="67" t="inlineStr">
        <is>
          <t>System</t>
        </is>
      </c>
      <c r="G12" s="67" t="inlineStr">
        <is>
          <t>N</t>
        </is>
      </c>
      <c r="H12" s="66" t="inlineStr">
        <is>
          <t>BR003</t>
        </is>
      </c>
      <c r="I12" s="67" t="inlineStr">
        <is>
          <t>LOW_VALUE</t>
        </is>
      </c>
      <c r="J12" s="74" t="inlineStr">
        <is>
          <t>ok</t>
        </is>
      </c>
      <c r="K12" s="67" t="inlineStr">
        <is>
          <t>LOW_VALUE/TRUSTED/TRA/NONE</t>
        </is>
      </c>
    </row>
    <row r="13" ht="21.75" customHeight="1" s="52">
      <c r="A13" s="58" t="inlineStr">
        <is>
          <t>fraud_score</t>
        </is>
      </c>
      <c r="B13" s="58" t="inlineStr">
        <is>
          <t>Fraud Risk Score</t>
        </is>
      </c>
      <c r="C13" s="58" t="inlineStr">
        <is>
          <t>fraud.score</t>
        </is>
      </c>
      <c r="D13" s="58" t="inlineStr">
        <is>
          <t>fraud_score</t>
        </is>
      </c>
      <c r="E13" s="58" t="inlineStr">
        <is>
          <t>Decimal</t>
        </is>
      </c>
      <c r="F13" s="58" t="inlineStr">
        <is>
          <t>System</t>
        </is>
      </c>
      <c r="G13" s="58" t="inlineStr">
        <is>
          <t>Y</t>
        </is>
      </c>
      <c r="H13" s="65" t="inlineStr">
        <is>
          <t>BR007</t>
        </is>
      </c>
      <c r="I13" s="58" t="inlineStr">
        <is>
          <t>0.12</t>
        </is>
      </c>
      <c r="J13" s="74" t="inlineStr">
        <is>
          <t>ok</t>
        </is>
      </c>
      <c r="K13" s="58" t="inlineStr">
        <is>
          <t>0.0-1.0 scale</t>
        </is>
      </c>
    </row>
    <row r="14" ht="21.75" customHeight="1" s="52">
      <c r="A14" s="67" t="inlineStr">
        <is>
          <t>fraud_model_version</t>
        </is>
      </c>
      <c r="B14" s="67" t="inlineStr">
        <is>
          <t>Fraud Model Version</t>
        </is>
      </c>
      <c r="C14" s="67" t="inlineStr">
        <is>
          <t>fraud.model_version</t>
        </is>
      </c>
      <c r="D14" s="67" t="inlineStr">
        <is>
          <t>fraud_model</t>
        </is>
      </c>
      <c r="E14" s="67" t="inlineStr">
        <is>
          <t>String</t>
        </is>
      </c>
      <c r="F14" s="67" t="inlineStr">
        <is>
          <t>System</t>
        </is>
      </c>
      <c r="G14" s="67" t="inlineStr">
        <is>
          <t>N</t>
        </is>
      </c>
      <c r="H14" s="67" t="n"/>
      <c r="I14" s="67" t="inlineStr">
        <is>
          <t>v3.2.1</t>
        </is>
      </c>
      <c r="J14" s="74" t="inlineStr">
        <is>
          <t>ok</t>
        </is>
      </c>
      <c r="K14" s="67" t="inlineStr">
        <is>
          <t>For audit reproducibility</t>
        </is>
      </c>
    </row>
    <row r="15" ht="21.75" customHeight="1" s="52">
      <c r="A15" s="58" t="inlineStr">
        <is>
          <t>aml_screening_result</t>
        </is>
      </c>
      <c r="B15" s="58" t="inlineStr">
        <is>
          <t>AML Screening Result</t>
        </is>
      </c>
      <c r="C15" s="58" t="inlineStr">
        <is>
          <t>compliance.aml_result</t>
        </is>
      </c>
      <c r="D15" s="58" t="inlineStr">
        <is>
          <t>aml_result</t>
        </is>
      </c>
      <c r="E15" s="58" t="inlineStr">
        <is>
          <t>String</t>
        </is>
      </c>
      <c r="F15" s="58" t="inlineStr">
        <is>
          <t>System</t>
        </is>
      </c>
      <c r="G15" s="58" t="inlineStr">
        <is>
          <t>Y</t>
        </is>
      </c>
      <c r="H15" s="65" t="inlineStr">
        <is>
          <t>BR006</t>
        </is>
      </c>
      <c r="I15" s="58" t="inlineStr">
        <is>
          <t>PASS</t>
        </is>
      </c>
      <c r="J15" s="74" t="inlineStr">
        <is>
          <t>ok</t>
        </is>
      </c>
      <c r="K15" s="58" t="inlineStr">
        <is>
          <t>PASS/FLAG/BLOCK</t>
        </is>
      </c>
    </row>
    <row r="16" ht="21.75" customHeight="1" s="52">
      <c r="A16" s="67" t="inlineStr">
        <is>
          <t>aml_screening_timestamp</t>
        </is>
      </c>
      <c r="B16" s="67" t="inlineStr">
        <is>
          <t>AML Screening Time</t>
        </is>
      </c>
      <c r="C16" s="67" t="inlineStr">
        <is>
          <t>compliance.aml_timestamp</t>
        </is>
      </c>
      <c r="D16" s="67" t="inlineStr">
        <is>
          <t>aml_time</t>
        </is>
      </c>
      <c r="E16" s="67" t="inlineStr">
        <is>
          <t>DateTime</t>
        </is>
      </c>
      <c r="F16" s="67" t="inlineStr">
        <is>
          <t>System</t>
        </is>
      </c>
      <c r="G16" s="67" t="inlineStr">
        <is>
          <t>Y</t>
        </is>
      </c>
      <c r="H16" s="67" t="n"/>
      <c r="I16" s="67" t="inlineStr">
        <is>
          <t>2026-04-15T10:32:40Z</t>
        </is>
      </c>
      <c r="J16" s="74" t="inlineStr">
        <is>
          <t>ok</t>
        </is>
      </c>
      <c r="K16" s="67" t="n"/>
    </row>
    <row r="17" ht="21.75" customHeight="1" s="52">
      <c r="A17" s="58" t="inlineStr">
        <is>
          <t>beneficiary_trust_status</t>
        </is>
      </c>
      <c r="B17" s="58" t="inlineStr">
        <is>
          <t>Trusted Beneficiary</t>
        </is>
      </c>
      <c r="C17" s="58" t="inlineStr">
        <is>
          <t>compliance.trusted_beneficiary</t>
        </is>
      </c>
      <c r="D17" s="58" t="inlineStr">
        <is>
          <t>trust_status</t>
        </is>
      </c>
      <c r="E17" s="58" t="inlineStr">
        <is>
          <t>Boolean</t>
        </is>
      </c>
      <c r="F17" s="58" t="inlineStr">
        <is>
          <t>System</t>
        </is>
      </c>
      <c r="G17" s="58" t="inlineStr">
        <is>
          <t>N</t>
        </is>
      </c>
      <c r="H17" s="65" t="inlineStr">
        <is>
          <t>BR004</t>
        </is>
      </c>
      <c r="I17" s="58" t="inlineStr">
        <is>
          <t>false</t>
        </is>
      </c>
      <c r="J17" s="74" t="inlineStr">
        <is>
          <t>ok</t>
        </is>
      </c>
      <c r="K17" s="58" t="n"/>
    </row>
    <row r="18" ht="21.75" customHeight="1" s="52">
      <c r="A18" s="67" t="inlineStr">
        <is>
          <t>consent_token_id</t>
        </is>
      </c>
      <c r="B18" s="67" t="inlineStr">
        <is>
          <t>Consent Token</t>
        </is>
      </c>
      <c r="C18" s="67" t="inlineStr">
        <is>
          <t>open_banking.consent_id</t>
        </is>
      </c>
      <c r="D18" s="67" t="inlineStr">
        <is>
          <t>consent_id</t>
        </is>
      </c>
      <c r="E18" s="67" t="inlineStr">
        <is>
          <t>String</t>
        </is>
      </c>
      <c r="F18" s="67" t="inlineStr">
        <is>
          <t>System</t>
        </is>
      </c>
      <c r="G18" s="67" t="inlineStr">
        <is>
          <t>N</t>
        </is>
      </c>
      <c r="H18" s="66" t="inlineStr">
        <is>
          <t>BR008</t>
        </is>
      </c>
      <c r="I18" s="67" t="inlineStr">
        <is>
          <t>CNS-2026-44821</t>
        </is>
      </c>
      <c r="J18" s="74" t="inlineStr">
        <is>
          <t>ok</t>
        </is>
      </c>
      <c r="K18" s="67" t="inlineStr">
        <is>
          <t>Only for TPP-initiated</t>
        </is>
      </c>
    </row>
    <row r="19" ht="21.75" customHeight="1" s="52">
      <c r="A19" s="58" t="inlineStr">
        <is>
          <t>tpp_id</t>
        </is>
      </c>
      <c r="B19" s="58" t="inlineStr">
        <is>
          <t>TPP Identifier</t>
        </is>
      </c>
      <c r="C19" s="58" t="inlineStr">
        <is>
          <t>open_banking.tpp_id</t>
        </is>
      </c>
      <c r="D19" s="58" t="inlineStr">
        <is>
          <t>tpp_id</t>
        </is>
      </c>
      <c r="E19" s="58" t="inlineStr">
        <is>
          <t>String</t>
        </is>
      </c>
      <c r="F19" s="58" t="inlineStr">
        <is>
          <t>System</t>
        </is>
      </c>
      <c r="G19" s="58" t="inlineStr">
        <is>
          <t>N</t>
        </is>
      </c>
      <c r="H19" s="65" t="inlineStr">
        <is>
          <t>BR009</t>
        </is>
      </c>
      <c r="I19" s="58" t="inlineStr">
        <is>
          <t>PSDBE-NBB-1234567</t>
        </is>
      </c>
      <c r="J19" s="74" t="inlineStr">
        <is>
          <t>ok</t>
        </is>
      </c>
      <c r="K19" s="58" t="inlineStr">
        <is>
          <t>National register format</t>
        </is>
      </c>
    </row>
    <row r="20" ht="21.75" customHeight="1" s="52">
      <c r="A20" s="67" t="inlineStr">
        <is>
          <t>instant_payment_flag</t>
        </is>
      </c>
      <c r="B20" s="67" t="inlineStr">
        <is>
          <t>Instant Payment</t>
        </is>
      </c>
      <c r="C20" s="67" t="inlineStr">
        <is>
          <t>payment.instant</t>
        </is>
      </c>
      <c r="D20" s="67" t="inlineStr">
        <is>
          <t>is_instant</t>
        </is>
      </c>
      <c r="E20" s="67" t="inlineStr">
        <is>
          <t>Boolean</t>
        </is>
      </c>
      <c r="F20" s="67" t="inlineStr">
        <is>
          <t>Edit</t>
        </is>
      </c>
      <c r="G20" s="67" t="inlineStr">
        <is>
          <t>N</t>
        </is>
      </c>
      <c r="H20" s="67" t="n"/>
      <c r="I20" s="67" t="n"/>
      <c r="J20" s="75" t="inlineStr">
        <is>
          <t>TBI</t>
        </is>
      </c>
      <c r="K20" s="67" t="inlineStr">
        <is>
          <t>SEPA Inst not yet implemented</t>
        </is>
      </c>
    </row>
    <row r="21" ht="21.75" customHeight="1" s="52">
      <c r="A21" s="58" t="inlineStr">
        <is>
          <t>request_to_pay_ref</t>
        </is>
      </c>
      <c r="B21" s="58" t="inlineStr">
        <is>
          <t>Request to Pay Reference</t>
        </is>
      </c>
      <c r="C21" s="58" t="inlineStr">
        <is>
          <t>payment.r2p_reference</t>
        </is>
      </c>
      <c r="D21" s="58" t="inlineStr">
        <is>
          <t>r2p_ref</t>
        </is>
      </c>
      <c r="E21" s="58" t="inlineStr">
        <is>
          <t>String</t>
        </is>
      </c>
      <c r="F21" s="58" t="inlineStr">
        <is>
          <t>Edit</t>
        </is>
      </c>
      <c r="G21" s="58" t="inlineStr">
        <is>
          <t>N</t>
        </is>
      </c>
      <c r="H21" s="58" t="n"/>
      <c r="I21" s="58" t="n"/>
      <c r="J21" s="75" t="inlineStr">
        <is>
          <t>TBI</t>
        </is>
      </c>
      <c r="K21" s="58" t="inlineStr">
        <is>
          <t>R2P spec pending finalisation</t>
        </is>
      </c>
    </row>
    <row r="22" ht="21.75" customHeight="1" s="52">
      <c r="A22" s="67" t="inlineStr">
        <is>
          <t>digital_euro_flag</t>
        </is>
      </c>
      <c r="B22" s="67" t="inlineStr">
        <is>
          <t>Digital Euro Eligible</t>
        </is>
      </c>
      <c r="C22" s="67" t="inlineStr">
        <is>
          <t>payment.digital_euro</t>
        </is>
      </c>
      <c r="D22" s="67" t="inlineStr">
        <is>
          <t>de_eligible</t>
        </is>
      </c>
      <c r="E22" s="67" t="inlineStr">
        <is>
          <t>Boolean</t>
        </is>
      </c>
      <c r="F22" s="67" t="inlineStr">
        <is>
          <t>System</t>
        </is>
      </c>
      <c r="G22" s="67" t="inlineStr">
        <is>
          <t>N</t>
        </is>
      </c>
      <c r="H22" s="67" t="n"/>
      <c r="I22" s="67" t="n"/>
      <c r="J22" s="75" t="inlineStr">
        <is>
          <t>TBI</t>
        </is>
      </c>
      <c r="K22" s="67" t="inlineStr">
        <is>
          <t>PSD3 digital euro provisions not yet live</t>
        </is>
      </c>
    </row>
    <row r="23" ht="21.75" customHeight="1" s="52">
      <c r="A23" s="58" t="inlineStr">
        <is>
          <t>confirmation_of_payee</t>
        </is>
      </c>
      <c r="B23" s="58" t="inlineStr">
        <is>
          <t>CoP Result</t>
        </is>
      </c>
      <c r="C23" s="58" t="inlineStr">
        <is>
          <t>payment.cop_result</t>
        </is>
      </c>
      <c r="D23" s="58" t="inlineStr">
        <is>
          <t>cop_result</t>
        </is>
      </c>
      <c r="E23" s="58" t="inlineStr">
        <is>
          <t>String</t>
        </is>
      </c>
      <c r="F23" s="58" t="inlineStr">
        <is>
          <t>System</t>
        </is>
      </c>
      <c r="G23" s="58" t="inlineStr">
        <is>
          <t>N</t>
        </is>
      </c>
      <c r="H23" s="58" t="n"/>
      <c r="I23" s="58" t="n"/>
      <c r="J23" s="75" t="inlineStr">
        <is>
          <t>TBI</t>
        </is>
      </c>
      <c r="K23" s="58" t="inlineStr">
        <is>
          <t>Confirmation of Payee not implemented yet</t>
        </is>
      </c>
    </row>
  </sheetData>
  <autoFilter ref="A2:K24"/>
  <mergeCells count="1">
    <mergeCell ref="A1:K1"/>
  </mergeCells>
  <conditionalFormatting sqref="J3:J24">
    <cfRule type="cellIs" rank="0" priority="2" equalAverage="0" operator="equal" aboveAverage="0" dxfId="13" text="" percent="0" bottom="0">
      <formula>"TBI"</formula>
    </cfRule>
    <cfRule type="cellIs" rank="0" priority="3" equalAverage="0" operator="equal" aboveAverage="0" dxfId="19" text="" percent="0" bottom="0">
      <formula>"Gap"</formula>
    </cfRule>
    <cfRule type="cellIs" rank="0" priority="4" equalAverage="0" operator="equal" aboveAverage="0" dxfId="14" text="" percent="0" bottom="0">
      <formula>"ok"</formula>
    </cfRule>
  </conditionalFormatting>
  <dataValidations count="4">
    <dataValidation sqref="J3:J24" showDropDown="0" showInputMessage="0" showErrorMessage="0" allowBlank="1" errorTitle="Invalid value" error="Please select a valid option" type="list" errorStyle="stop" operator="between">
      <formula1>"ok,TBI,Gap,N/A,Partial,Deprecated"</formula1>
      <formula2>0</formula2>
    </dataValidation>
    <dataValidation sqref="E3:E24" showDropDown="0" showInputMessage="0" showErrorMessage="0" allowBlank="1" errorTitle="Invalid value" error="Please select a valid option" type="list" errorStyle="stop" operator="between">
      <formula1>"String,Integer,Decimal,Boolean,Date,DateTime,Array,Object,Enum"</formula1>
      <formula2>0</formula2>
    </dataValidation>
    <dataValidation sqref="F3:F24" showDropDown="0" showInputMessage="0" showErrorMessage="0" allowBlank="1" errorTitle="Invalid value" error="Please select a valid option" type="list" errorStyle="stop" operator="between">
      <formula1>"Read,Edit,Auto,System,Calculated"</formula1>
      <formula2>0</formula2>
    </dataValidation>
    <dataValidation sqref="G3:G24" showDropDown="0" showInputMessage="0" showErrorMessage="0" allowBlank="1" errorTitle="Invalid value" error="Please select a valid optio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66534"/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1" min="1" max="2"/>
    <col width="35" customWidth="1" style="51" min="3" max="3"/>
    <col width="40" customWidth="1" style="51" min="4" max="4"/>
    <col width="8" customWidth="1" style="51" min="5" max="5"/>
    <col width="50" customWidth="1" style="51" min="6" max="6"/>
    <col width="24" customWidth="1" style="51" min="7" max="7"/>
    <col width="20" customWidth="1" style="51" min="8" max="9"/>
  </cols>
  <sheetData>
    <row r="1" ht="31.5" customHeight="1" s="52">
      <c r="A1" s="76" t="inlineStr">
        <is>
          <t>ID</t>
        </is>
      </c>
      <c r="B1" s="76" t="inlineStr">
        <is>
          <t>Method</t>
        </is>
      </c>
      <c r="C1" s="76" t="inlineStr">
        <is>
          <t>Path</t>
        </is>
      </c>
      <c r="D1" s="76" t="inlineStr">
        <is>
          <t>Description</t>
        </is>
      </c>
      <c r="E1" s="76" t="inlineStr">
        <is>
          <t>Entity</t>
        </is>
      </c>
      <c r="F1" s="76" t="inlineStr">
        <is>
          <t>Call_Sequence</t>
        </is>
      </c>
      <c r="G1" s="76" t="inlineStr">
        <is>
          <t>Rate_Limiting</t>
        </is>
      </c>
      <c r="H1" s="76" t="inlineStr">
        <is>
          <t>Request_Sample</t>
        </is>
      </c>
      <c r="I1" s="76" t="inlineStr">
        <is>
          <t>Response_Sample</t>
        </is>
      </c>
    </row>
    <row r="2" ht="21.75" customHeight="1" s="52">
      <c r="A2" s="65" t="inlineStr">
        <is>
          <t>EP01</t>
        </is>
      </c>
      <c r="B2" s="58" t="inlineStr">
        <is>
          <t>POST</t>
        </is>
      </c>
      <c r="C2" s="58" t="inlineStr">
        <is>
          <t>/payments/sepa-credit-transfer</t>
        </is>
      </c>
      <c r="D2" s="58" t="inlineStr">
        <is>
          <t>Initiate SEPA credit transfer with SCA</t>
        </is>
      </c>
      <c r="E2" s="58" t="inlineStr">
        <is>
          <t>TXN</t>
        </is>
      </c>
      <c r="F2" s="58" t="inlineStr">
        <is>
          <t>1. Validate IBAN format (BR005). 2. AML screening (AC006). 3. SCA challenge (BR001). 4. Submit to clearing.</t>
        </is>
      </c>
      <c r="G2" s="58" t="inlineStr">
        <is>
          <t>OAuth 2.0 + SCA token. 50 req/min per customer</t>
        </is>
      </c>
      <c r="H2" s="58" t="inlineStr">
        <is>
          <t>{}</t>
        </is>
      </c>
      <c r="I2" s="58" t="inlineStr">
        <is>
          <t>{}</t>
        </is>
      </c>
    </row>
    <row r="3" ht="21.75" customHeight="1" s="52">
      <c r="A3" s="66" t="inlineStr">
        <is>
          <t>EP02</t>
        </is>
      </c>
      <c r="B3" s="67" t="inlineStr">
        <is>
          <t>GET</t>
        </is>
      </c>
      <c r="C3" s="67" t="inlineStr">
        <is>
          <t>/payments/{txnId}/status</t>
        </is>
      </c>
      <c r="D3" s="67" t="inlineStr">
        <is>
          <t>Retrieve payment status and tracking</t>
        </is>
      </c>
      <c r="E3" s="67" t="inlineStr">
        <is>
          <t>TXN</t>
        </is>
      </c>
      <c r="F3" s="67" t="inlineStr">
        <is>
          <t>Called after EP01. Returns real-time status from SEPA clearing.</t>
        </is>
      </c>
      <c r="G3" s="67" t="inlineStr">
        <is>
          <t>OAuth 2.0. 200 req/min</t>
        </is>
      </c>
      <c r="H3" s="67" t="inlineStr">
        <is>
          <t>{}</t>
        </is>
      </c>
      <c r="I3" s="67" t="inlineStr">
        <is>
          <t>{}</t>
        </is>
      </c>
    </row>
    <row r="4" ht="21.75" customHeight="1" s="52">
      <c r="A4" s="65" t="inlineStr">
        <is>
          <t>EP03</t>
        </is>
      </c>
      <c r="B4" s="58" t="inlineStr">
        <is>
          <t>POST</t>
        </is>
      </c>
      <c r="C4" s="58" t="inlineStr">
        <is>
          <t>/fraud/score</t>
        </is>
      </c>
      <c r="D4" s="58" t="inlineStr">
        <is>
          <t>Real-time fraud scoring for transaction</t>
        </is>
      </c>
      <c r="E4" s="58" t="inlineStr">
        <is>
          <t>TXN</t>
        </is>
      </c>
      <c r="F4" s="58" t="inlineStr">
        <is>
          <t>Called within EP01 pipeline before SCA. Returns score 0.0-1.0 per BR007.</t>
        </is>
      </c>
      <c r="G4" s="58" t="inlineStr">
        <is>
          <t>Internal only. 1000 req/min</t>
        </is>
      </c>
      <c r="H4" s="58" t="inlineStr">
        <is>
          <t>{}</t>
        </is>
      </c>
      <c r="I4" s="58" t="inlineStr">
        <is>
          <t>{}</t>
        </is>
      </c>
    </row>
    <row r="5" ht="21.75" customHeight="1" s="52">
      <c r="A5" s="66" t="inlineStr">
        <is>
          <t>EP04</t>
        </is>
      </c>
      <c r="B5" s="67" t="inlineStr">
        <is>
          <t>GET</t>
        </is>
      </c>
      <c r="C5" s="67" t="inlineStr">
        <is>
          <t>/open-banking/accounts/{iban}/transactions</t>
        </is>
      </c>
      <c r="D5" s="67" t="inlineStr">
        <is>
          <t>TPP account access - transaction history</t>
        </is>
      </c>
      <c r="E5" s="67" t="inlineStr">
        <is>
          <t>TXN</t>
        </is>
      </c>
      <c r="F5" s="67" t="inlineStr">
        <is>
          <t>1. Validate consent token (BR008). 2. Verify TPP (BR009). 3. Apply non-discrimination (BR010).</t>
        </is>
      </c>
      <c r="G5" s="67" t="inlineStr">
        <is>
          <t>eIDAS certificate + consent token. 100 req/min per TPP</t>
        </is>
      </c>
      <c r="H5" s="67" t="inlineStr">
        <is>
          <t>{}</t>
        </is>
      </c>
      <c r="I5" s="67" t="inlineStr">
        <is>
          <t>{}</t>
        </is>
      </c>
    </row>
    <row r="6" ht="21.75" customHeight="1" s="52">
      <c r="A6" s="65" t="inlineStr">
        <is>
          <t>EP05</t>
        </is>
      </c>
      <c r="B6" s="58" t="inlineStr">
        <is>
          <t>POST</t>
        </is>
      </c>
      <c r="C6" s="58" t="inlineStr">
        <is>
          <t>/compliance/sar</t>
        </is>
      </c>
      <c r="D6" s="58" t="inlineStr">
        <is>
          <t>File Suspicious Activity Report</t>
        </is>
      </c>
      <c r="E6" s="58" t="inlineStr">
        <is>
          <t>TXN</t>
        </is>
      </c>
      <c r="F6" s="58" t="inlineStr">
        <is>
          <t>Called from WF002 when fraud confirmed. Must complete within 24h (BR006).</t>
        </is>
      </c>
      <c r="G6" s="58" t="inlineStr">
        <is>
          <t>Internal only. Requires AC001 approval</t>
        </is>
      </c>
      <c r="H6" s="58" t="inlineStr">
        <is>
          <t>{}</t>
        </is>
      </c>
      <c r="I6" s="58" t="inlineStr">
        <is>
          <t>{}</t>
        </is>
      </c>
    </row>
  </sheetData>
  <autoFilter ref="A1:I7"/>
  <conditionalFormatting sqref="B2:B7">
    <cfRule type="cellIs" rank="0" priority="2" equalAverage="0" operator="equal" aboveAverage="0" dxfId="14" text="" percent="0" bottom="0">
      <formula>"GET"</formula>
    </cfRule>
    <cfRule type="cellIs" rank="0" priority="3" equalAverage="0" operator="equal" aboveAverage="0" dxfId="15" text="" percent="0" bottom="0">
      <formula>"POST"</formula>
    </cfRule>
    <cfRule type="cellIs" rank="0" priority="4" equalAverage="0" operator="equal" aboveAverage="0" dxfId="19" text="" percent="0" bottom="0">
      <formula>"DELETE"</formula>
    </cfRule>
  </conditionalFormatting>
  <dataValidations count="1">
    <dataValidation sqref="B2:B7" showDropDown="0" showInputMessage="0" showErrorMessage="0" allowBlank="1" errorTitle="Invalid value" error="Please select a valid option" type="list" errorStyle="stop" operator="between">
      <formula1>"GET,POST,PUT,PATCH,DELETE"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F172A"/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1" min="1" max="1"/>
    <col width="50" customWidth="1" style="51" min="2" max="2"/>
    <col width="45" customWidth="1" style="51" min="3" max="3"/>
    <col width="10" customWidth="1" style="51" min="4" max="4"/>
    <col width="50" customWidth="1" style="51" min="5" max="5"/>
    <col width="10" customWidth="1" style="51" min="6" max="6"/>
    <col width="12" customWidth="1" style="51" min="7" max="7"/>
  </cols>
  <sheetData>
    <row r="1" ht="31.5" customHeight="1" s="52">
      <c r="A1" s="77" t="inlineStr">
        <is>
          <t>Req_ID</t>
        </is>
      </c>
      <c r="B1" s="77" t="inlineStr">
        <is>
          <t>Requirement</t>
        </is>
      </c>
      <c r="C1" s="77" t="inlineStr">
        <is>
          <t>User_Story</t>
        </is>
      </c>
      <c r="D1" s="77" t="inlineStr">
        <is>
          <t>Test_Case</t>
        </is>
      </c>
      <c r="E1" s="77" t="inlineStr">
        <is>
          <t>Test_Steps</t>
        </is>
      </c>
      <c r="F1" s="77" t="inlineStr">
        <is>
          <t>Priority</t>
        </is>
      </c>
      <c r="G1" s="77" t="inlineStr">
        <is>
          <t>Status</t>
        </is>
      </c>
    </row>
    <row r="2" ht="21.75" customHeight="1" s="52">
      <c r="A2" s="65" t="inlineStr">
        <is>
          <t>REQ-001</t>
        </is>
      </c>
      <c r="B2" s="58" t="inlineStr">
        <is>
          <t>System shall enforce Strong Customer Authentication using minimum 2 of 3 factors for all payment initiations above 30 EUR</t>
        </is>
      </c>
      <c r="C2" s="58" t="inlineStr">
        <is>
          <t>As a bank customer I want secure authentication so that my payments are protected from unauthorized access</t>
        </is>
      </c>
      <c r="D2" s="65" t="inlineStr">
        <is>
          <t>TC-001</t>
        </is>
      </c>
      <c r="E2" s="58" t="inlineStr">
        <is>
          <t>Given payment of 50 EUR When SCA triggered Then system requires biometric AND SMS OTP. Given payment of 25 EUR Then SCA exemption LOW_VALUE applied per BR003</t>
        </is>
      </c>
      <c r="F2" s="58" t="inlineStr">
        <is>
          <t>Critical</t>
        </is>
      </c>
      <c r="G2" s="58" t="inlineStr">
        <is>
          <t>Approved</t>
        </is>
      </c>
    </row>
    <row r="3" ht="21.75" customHeight="1" s="52">
      <c r="A3" s="66" t="inlineStr">
        <is>
          <t>REQ-002</t>
        </is>
      </c>
      <c r="B3" s="67" t="inlineStr">
        <is>
          <t>System shall enforce cumulative SCA thresholds: max 5 consecutive exemptions OR 150 EUR cumulative since last full SCA</t>
        </is>
      </c>
      <c r="C3" s="67" t="inlineStr">
        <is>
          <t>As a compliance officer I want velocity checks so that low-value exemptions cannot be exploited for fraud</t>
        </is>
      </c>
      <c r="D3" s="66" t="inlineStr">
        <is>
          <t>TC-002</t>
        </is>
      </c>
      <c r="E3" s="67" t="inlineStr">
        <is>
          <t>Given 4 previous exempted payments totaling 120 EUR When 5th payment of 35 EUR submitted Then SCA forced (cumulative 155 EUR &gt; 150 threshold per BR003)</t>
        </is>
      </c>
      <c r="F3" s="67" t="inlineStr">
        <is>
          <t>Critical</t>
        </is>
      </c>
      <c r="G3" s="67" t="inlineStr">
        <is>
          <t>In Progress</t>
        </is>
      </c>
    </row>
    <row r="4" ht="21.75" customHeight="1" s="52">
      <c r="A4" s="65" t="inlineStr">
        <is>
          <t>REQ-003</t>
        </is>
      </c>
      <c r="B4" s="58" t="inlineStr">
        <is>
          <t>System shall allow customers to maintain a trusted beneficiary whitelist requiring SCA to add and maximum 20 entries</t>
        </is>
      </c>
      <c r="C4" s="58" t="inlineStr">
        <is>
          <t>As a customer I want to save trusted recipients so that I can send them money without repeated SCA challenges</t>
        </is>
      </c>
      <c r="D4" s="65" t="inlineStr">
        <is>
          <t>TC-003</t>
        </is>
      </c>
      <c r="E4" s="58" t="inlineStr">
        <is>
          <t>Given trusted list with 20 entries When customer tries to add 21st Then system shows error per BR004. Given new beneficiary added Then SCA required before addition</t>
        </is>
      </c>
      <c r="F4" s="58" t="inlineStr">
        <is>
          <t>Medium</t>
        </is>
      </c>
      <c r="G4" s="58" t="inlineStr">
        <is>
          <t>Draft</t>
        </is>
      </c>
    </row>
    <row r="5" ht="21.75" customHeight="1" s="52">
      <c r="A5" s="66" t="inlineStr">
        <is>
          <t>REQ-004</t>
        </is>
      </c>
      <c r="B5" s="67" t="inlineStr">
        <is>
          <t>System shall process SEPA payments without discrimination based on creditor IBAN country within the SEPA zone</t>
        </is>
      </c>
      <c r="C5" s="67" t="inlineStr">
        <is>
          <t>As a customer I want cross-border EUR payments treated the same as domestic so that I am not charged extra per PSD3</t>
        </is>
      </c>
      <c r="D5" s="66" t="inlineStr">
        <is>
          <t>TC-004</t>
        </is>
      </c>
      <c r="E5" s="67" t="inlineStr">
        <is>
          <t>Given payment to DE IBAN When processed Then no additional fee applied and processing time same as domestic per BR005</t>
        </is>
      </c>
      <c r="F5" s="67" t="inlineStr">
        <is>
          <t>Critical</t>
        </is>
      </c>
      <c r="G5" s="67" t="inlineStr">
        <is>
          <t>Approved</t>
        </is>
      </c>
    </row>
    <row r="6" ht="21.75" customHeight="1" s="52">
      <c r="A6" s="65" t="inlineStr">
        <is>
          <t>REQ-005</t>
        </is>
      </c>
      <c r="B6" s="58" t="inlineStr">
        <is>
          <t>System shall file Suspicious Activity Reports with national FIU within 24 hours of fraud confirmation</t>
        </is>
      </c>
      <c r="C6" s="58" t="inlineStr">
        <is>
          <t>As a compliance officer I want automated SAR filing so that we meet AML6 regulatory deadlines</t>
        </is>
      </c>
      <c r="D6" s="65" t="inlineStr">
        <is>
          <t>TC-005</t>
        </is>
      </c>
      <c r="E6" s="58" t="inlineStr">
        <is>
          <t>Given fraud confirmed at 14:00 When SAR timer starts Then filing must complete by 14:00 next day per BR006</t>
        </is>
      </c>
      <c r="F6" s="58" t="inlineStr">
        <is>
          <t>Critical</t>
        </is>
      </c>
      <c r="G6" s="58" t="inlineStr">
        <is>
          <t>Approved</t>
        </is>
      </c>
    </row>
    <row r="7" ht="21.75" customHeight="1" s="52">
      <c r="A7" s="66" t="inlineStr">
        <is>
          <t>REQ-006</t>
        </is>
      </c>
      <c r="B7" s="67" t="inlineStr">
        <is>
          <t>System shall apply real-time ML-based fraud scoring to all transactions with auto-freeze above 0.85 threshold</t>
        </is>
      </c>
      <c r="C7" s="67" t="inlineStr">
        <is>
          <t>As a payment operations manager I want automated fraud detection so that suspicious transactions are caught before clearing</t>
        </is>
      </c>
      <c r="D7" s="66" t="inlineStr">
        <is>
          <t>TC-006</t>
        </is>
      </c>
      <c r="E7" s="67" t="inlineStr">
        <is>
          <t>Given transaction with score 0.91 When score calculated Then transaction auto-frozen and alert created per BR007/WF002</t>
        </is>
      </c>
      <c r="F7" s="67" t="inlineStr">
        <is>
          <t>High</t>
        </is>
      </c>
      <c r="G7" s="67" t="inlineStr">
        <is>
          <t>In Progress</t>
        </is>
      </c>
    </row>
    <row r="8" ht="21.75" customHeight="1" s="52">
      <c r="A8" s="65" t="inlineStr">
        <is>
          <t>REQ-007</t>
        </is>
      </c>
      <c r="B8" s="58" t="inlineStr">
        <is>
          <t>System shall validate TPP consent tokens and eIDAS certificates before granting Open Banking API access</t>
        </is>
      </c>
      <c r="C8" s="58" t="inlineStr">
        <is>
          <t>As an API gateway I want TPP verification so that only authorised third parties access customer data per PSD3</t>
        </is>
      </c>
      <c r="D8" s="65" t="inlineStr">
        <is>
          <t>TC-007</t>
        </is>
      </c>
      <c r="E8" s="58" t="inlineStr">
        <is>
          <t>Given expired consent token When TPP calls EP04 Then 401 returned per BR008. Given unregistered TPP Then 403 per BR009</t>
        </is>
      </c>
      <c r="F8" s="58" t="inlineStr">
        <is>
          <t>Critical</t>
        </is>
      </c>
      <c r="G8" s="58" t="inlineStr">
        <is>
          <t>Draft</t>
        </is>
      </c>
    </row>
    <row r="9" ht="21.75" customHeight="1" s="52">
      <c r="A9" s="66" t="inlineStr">
        <is>
          <t>REQ-008</t>
        </is>
      </c>
      <c r="B9" s="67" t="inlineStr">
        <is>
          <t>System shall provide TPP API access with same data quality as the bank's own digital channels</t>
        </is>
      </c>
      <c r="C9" s="67" t="inlineStr">
        <is>
          <t>As a TPP developer I want non-discriminatory API access so that Open Banking services work reliably per PSD3</t>
        </is>
      </c>
      <c r="D9" s="66" t="inlineStr">
        <is>
          <t>TC-008</t>
        </is>
      </c>
      <c r="E9" s="67" t="inlineStr">
        <is>
          <t>Given API response time &gt;3x online banking When degradation detected Then auto-alert to compliance per BR010</t>
        </is>
      </c>
      <c r="F9" s="67" t="inlineStr">
        <is>
          <t>High</t>
        </is>
      </c>
      <c r="G9" s="67" t="inlineStr">
        <is>
          <t>Draft</t>
        </is>
      </c>
    </row>
  </sheetData>
  <autoFilter ref="A1:G10"/>
  <conditionalFormatting sqref="G2:G10">
    <cfRule type="cellIs" rank="0" priority="2" equalAverage="0" operator="equal" aboveAverage="0" dxfId="14" text="" percent="0" bottom="0">
      <formula>"Approved"</formula>
    </cfRule>
    <cfRule type="cellIs" rank="0" priority="3" equalAverage="0" operator="equal" aboveAverage="0" dxfId="24" text="" percent="0" bottom="0">
      <formula>"Draft"</formula>
    </cfRule>
    <cfRule type="cellIs" rank="0" priority="4" equalAverage="0" operator="equal" aboveAverage="0" dxfId="15" text="" percent="0" bottom="0">
      <formula>"In Progress"</formula>
    </cfRule>
  </conditionalFormatting>
  <dataValidations count="2">
    <dataValidation sqref="F2:F10" showDropDown="0" showInputMessage="0" showErrorMessage="0" allowBlank="1" errorTitle="Invalid value" error="Please select a valid option" type="list" errorStyle="stop" operator="between">
      <formula1>"Critical,High,Medium,Low"</formula1>
      <formula2>0</formula2>
    </dataValidation>
    <dataValidation sqref="G2:G10" showDropDown="0" showInputMessage="0" showErrorMessage="0" allowBlank="1" errorTitle="Invalid value" error="Please select a valid option" type="list" errorStyle="stop" operator="between">
      <formula1>"Draft,Approved,In Progress,Implemented,Tested,Deployed"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92400E"/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55" customWidth="1" style="51" min="2" max="2"/>
    <col width="40" customWidth="1" style="51" min="3" max="3"/>
    <col width="18" customWidth="1" style="51" min="4" max="4"/>
    <col width="10" customWidth="1" style="51" min="5" max="5"/>
    <col width="12" customWidth="1" style="51" min="6" max="6"/>
    <col width="18" customWidth="1" style="51" min="7" max="7"/>
    <col width="40" customWidth="1" style="51" min="8" max="8"/>
  </cols>
  <sheetData>
    <row r="1" ht="31.5" customHeight="1" s="52">
      <c r="A1" s="78" t="inlineStr">
        <is>
          <t>ID</t>
        </is>
      </c>
      <c r="B1" s="78" t="inlineStr">
        <is>
          <t>Question</t>
        </is>
      </c>
      <c r="C1" s="78" t="inlineStr">
        <is>
          <t>Context</t>
        </is>
      </c>
      <c r="D1" s="78" t="inlineStr">
        <is>
          <t>Entity_Field</t>
        </is>
      </c>
      <c r="E1" s="78" t="inlineStr">
        <is>
          <t>Priority</t>
        </is>
      </c>
      <c r="F1" s="78" t="inlineStr">
        <is>
          <t>Status</t>
        </is>
      </c>
      <c r="G1" s="78" t="inlineStr">
        <is>
          <t>Assigned_To</t>
        </is>
      </c>
      <c r="H1" s="78" t="inlineStr">
        <is>
          <t>Answer</t>
        </is>
      </c>
    </row>
    <row r="2" ht="21.75" customHeight="1" s="52">
      <c r="A2" s="65" t="inlineStr">
        <is>
          <t>Q001</t>
        </is>
      </c>
      <c r="B2" s="58" t="inlineStr">
        <is>
          <t>Will PSD3 SCA exemption thresholds (30 EUR / 150 EUR cumulative) change before go-live?</t>
        </is>
      </c>
      <c r="C2" s="58" t="inlineStr">
        <is>
          <t>Draft regulation has proposed lowering to 25 EUR / 125 EUR</t>
        </is>
      </c>
      <c r="D2" s="65" t="inlineStr">
        <is>
          <t>TXN.sca_exempt</t>
        </is>
      </c>
      <c r="E2" s="58" t="inlineStr">
        <is>
          <t>Critical</t>
        </is>
      </c>
      <c r="F2" s="58" t="inlineStr">
        <is>
          <t>Open</t>
        </is>
      </c>
      <c r="G2" s="58" t="inlineStr">
        <is>
          <t>Regulatory Affairs</t>
        </is>
      </c>
      <c r="H2" s="58" t="n"/>
    </row>
    <row r="3" ht="21.75" customHeight="1" s="52">
      <c r="A3" s="66" t="inlineStr">
        <is>
          <t>Q002</t>
        </is>
      </c>
      <c r="B3" s="67" t="inlineStr">
        <is>
          <t>Which ML model version will be certified for production fraud scoring?</t>
        </is>
      </c>
      <c r="C3" s="67" t="inlineStr">
        <is>
          <t>Current v3.2.1 trained on 2024-2025 data. Need retraining on 2025-2026 patterns</t>
        </is>
      </c>
      <c r="D3" s="66" t="inlineStr">
        <is>
          <t>TXN.fraud_score</t>
        </is>
      </c>
      <c r="E3" s="67" t="inlineStr">
        <is>
          <t>High</t>
        </is>
      </c>
      <c r="F3" s="67" t="inlineStr">
        <is>
          <t>Open</t>
        </is>
      </c>
      <c r="G3" s="67" t="inlineStr">
        <is>
          <t>Data Science Team</t>
        </is>
      </c>
      <c r="H3" s="67" t="n"/>
    </row>
    <row r="4" ht="21.75" customHeight="1" s="52">
      <c r="A4" s="65" t="inlineStr">
        <is>
          <t>Q003</t>
        </is>
      </c>
      <c r="B4" s="58" t="inlineStr">
        <is>
          <t>How should the system handle SCA when biometric reader is unavailable on customer device?</t>
        </is>
      </c>
      <c r="C4" s="58" t="inlineStr">
        <is>
          <t>Fallback to SMS OTP vs app-based TOTP. PSD3 allows but national regulator may restrict</t>
        </is>
      </c>
      <c r="D4" s="65" t="inlineStr">
        <is>
          <t>TXN.sca_method</t>
        </is>
      </c>
      <c r="E4" s="58" t="inlineStr">
        <is>
          <t>High</t>
        </is>
      </c>
      <c r="F4" s="58" t="inlineStr">
        <is>
          <t>Blocked</t>
        </is>
      </c>
      <c r="G4" s="58" t="inlineStr">
        <is>
          <t>Product Team</t>
        </is>
      </c>
      <c r="H4" s="58" t="n"/>
    </row>
    <row r="5" ht="21.75" customHeight="1" s="52">
      <c r="A5" s="66" t="inlineStr">
        <is>
          <t>Q004</t>
        </is>
      </c>
      <c r="B5" s="67" t="inlineStr">
        <is>
          <t>What is the timeline for SEPA Instant Payment (SCT Inst) mandatory adoption?</t>
        </is>
      </c>
      <c r="C5" s="67" t="inlineStr">
        <is>
          <t>EU regulation requires all PSPs to offer SCT Inst by Jan 2025 but enforcement varies</t>
        </is>
      </c>
      <c r="D5" s="66" t="inlineStr">
        <is>
          <t>TXN.instant_payment_flag</t>
        </is>
      </c>
      <c r="E5" s="67" t="inlineStr">
        <is>
          <t>Medium</t>
        </is>
      </c>
      <c r="F5" s="67" t="inlineStr">
        <is>
          <t>Open</t>
        </is>
      </c>
      <c r="G5" s="67" t="inlineStr">
        <is>
          <t>Infrastructure Team</t>
        </is>
      </c>
      <c r="H5" s="67" t="n"/>
    </row>
    <row r="6" ht="21.75" customHeight="1" s="52">
      <c r="A6" s="65" t="inlineStr">
        <is>
          <t>Q005</t>
        </is>
      </c>
      <c r="B6" s="58" t="inlineStr">
        <is>
          <t>Will Confirmation of Payee be mandatory under PSD3 final text?</t>
        </is>
      </c>
      <c r="C6" s="58" t="inlineStr">
        <is>
          <t>Currently optional in draft. If mandatory requires integration with pan-EU CoP framework</t>
        </is>
      </c>
      <c r="D6" s="65" t="inlineStr">
        <is>
          <t>TXN.confirmation_of_payee</t>
        </is>
      </c>
      <c r="E6" s="58" t="inlineStr">
        <is>
          <t>High</t>
        </is>
      </c>
      <c r="F6" s="58" t="inlineStr">
        <is>
          <t>Open</t>
        </is>
      </c>
      <c r="G6" s="58" t="inlineStr">
        <is>
          <t>Regulatory Affairs</t>
        </is>
      </c>
      <c r="H6" s="58" t="n"/>
    </row>
  </sheetData>
  <autoFilter ref="A1:H7"/>
  <conditionalFormatting sqref="F2:F7">
    <cfRule type="cellIs" rank="0" priority="2" equalAverage="0" operator="equal" aboveAverage="0" dxfId="19" text="" percent="0" bottom="0">
      <formula>"Blocked"</formula>
    </cfRule>
    <cfRule type="cellIs" rank="0" priority="3" equalAverage="0" operator="equal" aboveAverage="0" dxfId="13" text="" percent="0" bottom="0">
      <formula>"Open"</formula>
    </cfRule>
    <cfRule type="cellIs" rank="0" priority="4" equalAverage="0" operator="equal" aboveAverage="0" dxfId="14" text="" percent="0" bottom="0">
      <formula>"Answered"</formula>
    </cfRule>
  </conditionalFormatting>
  <dataValidations count="2">
    <dataValidation sqref="E2:E7" showDropDown="0" showInputMessage="0" showErrorMessage="0" allowBlank="1" errorTitle="Invalid value" error="Please select a valid option" type="list" errorStyle="stop" operator="between">
      <formula1>"Critical,High,Medium,Low"</formula1>
      <formula2>0</formula2>
    </dataValidation>
    <dataValidation sqref="F2:F7" showDropDown="0" showInputMessage="0" showErrorMessage="0" allowBlank="1" errorTitle="Invalid value" error="Please select a valid option" type="list" errorStyle="stop" operator="between">
      <formula1>"Open,In Progress,Answered,Blocked,Closed"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64748B"/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1" min="1" max="1"/>
    <col width="70" customWidth="1" style="51" min="2" max="2"/>
    <col width="16" customWidth="1" style="51" min="3" max="3"/>
  </cols>
  <sheetData>
    <row r="1" ht="31.5" customHeight="1" s="52">
      <c r="A1" s="79" t="inlineStr">
        <is>
          <t>Term</t>
        </is>
      </c>
      <c r="B1" s="79" t="inlineStr">
        <is>
          <t>Definition</t>
        </is>
      </c>
      <c r="C1" s="79" t="inlineStr">
        <is>
          <t>Related_Entity</t>
        </is>
      </c>
    </row>
    <row r="2" ht="21.75" customHeight="1" s="52">
      <c r="A2" s="58" t="inlineStr">
        <is>
          <t>SCA</t>
        </is>
      </c>
      <c r="B2" s="58" t="inlineStr">
        <is>
          <t>Strong Customer Authentication. Two-factor verification required by PSD3 for electronic payments and account access.</t>
        </is>
      </c>
      <c r="C2" s="58" t="inlineStr">
        <is>
          <t>TXN</t>
        </is>
      </c>
    </row>
    <row r="3" ht="21.75" customHeight="1" s="52">
      <c r="A3" s="67" t="inlineStr">
        <is>
          <t>PSD3</t>
        </is>
      </c>
      <c r="B3" s="67" t="inlineStr">
        <is>
          <t>Payment Services Directive 3. EU regulation updating PSD2 with enhanced fraud prevention and Open Banking rules.</t>
        </is>
      </c>
      <c r="C3" s="67" t="n"/>
    </row>
    <row r="4" ht="21.75" customHeight="1" s="52">
      <c r="A4" s="58" t="inlineStr">
        <is>
          <t>SEPA</t>
        </is>
      </c>
      <c r="B4" s="58" t="inlineStr">
        <is>
          <t>Single Euro Payments Area. Zone of 36 European countries for EUR credit transfers and direct debits.</t>
        </is>
      </c>
      <c r="C4" s="58" t="inlineStr">
        <is>
          <t>TXN</t>
        </is>
      </c>
    </row>
    <row r="5" ht="21.75" customHeight="1" s="52">
      <c r="A5" s="67" t="inlineStr">
        <is>
          <t>TPP</t>
        </is>
      </c>
      <c r="B5" s="67" t="inlineStr">
        <is>
          <t>Third Party Provider. Licensed entity accessing bank accounts via Open Banking APIs under PSD3.</t>
        </is>
      </c>
      <c r="C5" s="67" t="inlineStr">
        <is>
          <t>TXN</t>
        </is>
      </c>
    </row>
    <row r="6" ht="21.75" customHeight="1" s="52">
      <c r="A6" s="58" t="inlineStr">
        <is>
          <t>IBAN</t>
        </is>
      </c>
      <c r="B6" s="58" t="inlineStr">
        <is>
          <t>International Bank Account Number. Standardised format for identifying bank accounts across borders.</t>
        </is>
      </c>
      <c r="C6" s="58" t="inlineStr">
        <is>
          <t>TXN</t>
        </is>
      </c>
    </row>
    <row r="7" ht="21.75" customHeight="1" s="52">
      <c r="A7" s="67" t="inlineStr">
        <is>
          <t>SAR</t>
        </is>
      </c>
      <c r="B7" s="67" t="inlineStr">
        <is>
          <t>Suspicious Activity Report. Mandatory filing to national Financial Intelligence Unit when fraud or money laundering suspected.</t>
        </is>
      </c>
      <c r="C7" s="67" t="inlineStr">
        <is>
          <t>TXN</t>
        </is>
      </c>
    </row>
    <row r="8" ht="21.75" customHeight="1" s="52">
      <c r="A8" s="58" t="inlineStr">
        <is>
          <t>FIU</t>
        </is>
      </c>
      <c r="B8" s="58" t="inlineStr">
        <is>
          <t>Financial Intelligence Unit. National authority receiving and analysing SARs from financial institutions.</t>
        </is>
      </c>
      <c r="C8" s="58" t="n"/>
    </row>
    <row r="9" ht="21.75" customHeight="1" s="52">
      <c r="A9" s="67" t="inlineStr">
        <is>
          <t>AML6</t>
        </is>
      </c>
      <c r="B9" s="67" t="inlineStr">
        <is>
          <t>Anti-Money Laundering Directive 6. EU framework for preventing financial crime including KYC and transaction monitoring.</t>
        </is>
      </c>
      <c r="C9" s="67" t="n"/>
    </row>
    <row r="10" ht="21.75" customHeight="1" s="52">
      <c r="A10" s="58" t="inlineStr">
        <is>
          <t>eIDAS</t>
        </is>
      </c>
      <c r="B10" s="58" t="inlineStr">
        <is>
          <t>Electronic Identification Authentication and Trust Services. EU regulation for digital identity and qualified certificates.</t>
        </is>
      </c>
      <c r="C10" s="58" t="n"/>
    </row>
    <row r="11" ht="21.75" customHeight="1" s="52">
      <c r="A11" s="67" t="inlineStr">
        <is>
          <t>CoP</t>
        </is>
      </c>
      <c r="B11" s="67" t="inlineStr">
        <is>
          <t>Confirmation of Payee. Name-matching service verifying beneficiary identity before payment execution.</t>
        </is>
      </c>
      <c r="C11" s="67" t="inlineStr">
        <is>
          <t>TXN</t>
        </is>
      </c>
    </row>
    <row r="12" ht="21.75" customHeight="1" s="52">
      <c r="A12" s="58" t="inlineStr">
        <is>
          <t>SCT Inst</t>
        </is>
      </c>
      <c r="B12" s="58" t="inlineStr">
        <is>
          <t>SEPA Credit Transfer Instant. Real-time euro payment processing within 10 seconds.</t>
        </is>
      </c>
      <c r="C12" s="58" t="inlineStr">
        <is>
          <t>TXN</t>
        </is>
      </c>
    </row>
    <row r="13" ht="21.75" customHeight="1" s="52">
      <c r="A13" s="67" t="inlineStr">
        <is>
          <t>CBS</t>
        </is>
      </c>
      <c r="B13" s="67" t="inlineStr">
        <is>
          <t>Core Banking System. Central platform processing accounts deposits loans and payments.</t>
        </is>
      </c>
      <c r="C13" s="67" t="inlineStr">
        <is>
          <t>TXN</t>
        </is>
      </c>
    </row>
  </sheetData>
  <autoFilter ref="A1:C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B45309"/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1" min="1" max="2"/>
    <col width="18" customWidth="1" style="51" min="3" max="3"/>
    <col width="14" customWidth="1" style="51" min="4" max="4"/>
    <col width="18" customWidth="1" style="51" min="5" max="5"/>
    <col width="55" customWidth="1" style="51" min="6" max="6"/>
  </cols>
  <sheetData>
    <row r="1" ht="30" customHeight="1" s="52">
      <c r="A1" s="80" t="inlineStr">
        <is>
          <t>Cross-Reference Map</t>
        </is>
      </c>
    </row>
    <row r="2" ht="15" customHeight="1" s="52">
      <c r="A2" s="81" t="inlineStr">
        <is>
          <t>Shows all links between actors, workflows, rules, fields, requirements, and endpoints</t>
        </is>
      </c>
    </row>
    <row r="4" ht="31.5" customHeight="1" s="52">
      <c r="A4" s="68" t="inlineStr">
        <is>
          <t>Source Type</t>
        </is>
      </c>
      <c r="B4" s="68" t="inlineStr">
        <is>
          <t>Source ID</t>
        </is>
      </c>
      <c r="C4" s="68" t="inlineStr">
        <is>
          <t>Link Type</t>
        </is>
      </c>
      <c r="D4" s="68" t="inlineStr">
        <is>
          <t>Target Type</t>
        </is>
      </c>
      <c r="E4" s="68" t="inlineStr">
        <is>
          <t>Target ID</t>
        </is>
      </c>
      <c r="F4" s="68" t="inlineStr">
        <is>
          <t>Context</t>
        </is>
      </c>
    </row>
    <row r="5" ht="21.75" customHeight="1" s="52">
      <c r="A5" s="75" t="inlineStr">
        <is>
          <t>Workflow</t>
        </is>
      </c>
      <c r="B5" s="65" t="inlineStr">
        <is>
          <t>WF001</t>
        </is>
      </c>
      <c r="C5" s="82" t="inlineStr">
        <is>
          <t>uses actor</t>
        </is>
      </c>
      <c r="D5" s="83" t="inlineStr">
        <is>
          <t>Actor</t>
        </is>
      </c>
      <c r="E5" s="65" t="inlineStr">
        <is>
          <t>AC002</t>
        </is>
      </c>
      <c r="F5" s="58" t="inlineStr">
        <is>
          <t>Payment Ops Manager owns SEPA flow</t>
        </is>
      </c>
    </row>
    <row r="6" ht="21.75" customHeight="1" s="52">
      <c r="A6" s="75" t="inlineStr">
        <is>
          <t>Workflow</t>
        </is>
      </c>
      <c r="B6" s="66" t="inlineStr">
        <is>
          <t>WF001</t>
        </is>
      </c>
      <c r="C6" s="84" t="inlineStr">
        <is>
          <t>uses actor</t>
        </is>
      </c>
      <c r="D6" s="83" t="inlineStr">
        <is>
          <t>Actor</t>
        </is>
      </c>
      <c r="E6" s="66" t="inlineStr">
        <is>
          <t>AC005</t>
        </is>
      </c>
      <c r="F6" s="67" t="inlineStr">
        <is>
          <t>PSD3 Gateway handles SCA</t>
        </is>
      </c>
    </row>
    <row r="7" ht="21.75" customHeight="1" s="52">
      <c r="A7" s="75" t="inlineStr">
        <is>
          <t>Workflow</t>
        </is>
      </c>
      <c r="B7" s="65" t="inlineStr">
        <is>
          <t>WF001</t>
        </is>
      </c>
      <c r="C7" s="82" t="inlineStr">
        <is>
          <t>uses actor</t>
        </is>
      </c>
      <c r="D7" s="83" t="inlineStr">
        <is>
          <t>Actor</t>
        </is>
      </c>
      <c r="E7" s="65" t="inlineStr">
        <is>
          <t>AC006</t>
        </is>
      </c>
      <c r="F7" s="58" t="inlineStr">
        <is>
          <t>AML Engine screens beneficiary</t>
        </is>
      </c>
    </row>
    <row r="8" ht="21.75" customHeight="1" s="52">
      <c r="A8" s="75" t="inlineStr">
        <is>
          <t>Workflow</t>
        </is>
      </c>
      <c r="B8" s="66" t="inlineStr">
        <is>
          <t>WF001</t>
        </is>
      </c>
      <c r="C8" s="84" t="inlineStr">
        <is>
          <t>triggers rule</t>
        </is>
      </c>
      <c r="D8" s="85" t="inlineStr">
        <is>
          <t>Rule</t>
        </is>
      </c>
      <c r="E8" s="66" t="inlineStr">
        <is>
          <t>BR001</t>
        </is>
      </c>
      <c r="F8" s="67" t="inlineStr">
        <is>
          <t>SCA triggered at step 4</t>
        </is>
      </c>
    </row>
    <row r="9" ht="21.75" customHeight="1" s="52">
      <c r="A9" s="75" t="inlineStr">
        <is>
          <t>Workflow</t>
        </is>
      </c>
      <c r="B9" s="65" t="inlineStr">
        <is>
          <t>WF001</t>
        </is>
      </c>
      <c r="C9" s="82" t="inlineStr">
        <is>
          <t>triggers rule</t>
        </is>
      </c>
      <c r="D9" s="85" t="inlineStr">
        <is>
          <t>Rule</t>
        </is>
      </c>
      <c r="E9" s="65" t="inlineStr">
        <is>
          <t>BR005</t>
        </is>
      </c>
      <c r="F9" s="58" t="inlineStr">
        <is>
          <t>IBAN non-discrimination at step 6</t>
        </is>
      </c>
    </row>
    <row r="10" ht="21.75" customHeight="1" s="52">
      <c r="A10" s="75" t="inlineStr">
        <is>
          <t>Workflow</t>
        </is>
      </c>
      <c r="B10" s="66" t="inlineStr">
        <is>
          <t>WF002</t>
        </is>
      </c>
      <c r="C10" s="84" t="inlineStr">
        <is>
          <t>triggers rule</t>
        </is>
      </c>
      <c r="D10" s="85" t="inlineStr">
        <is>
          <t>Rule</t>
        </is>
      </c>
      <c r="E10" s="66" t="inlineStr">
        <is>
          <t>BR006</t>
        </is>
      </c>
      <c r="F10" s="67" t="inlineStr">
        <is>
          <t>SAR filing if fraud confirmed</t>
        </is>
      </c>
    </row>
    <row r="11" ht="21.75" customHeight="1" s="52">
      <c r="A11" s="75" t="inlineStr">
        <is>
          <t>Workflow</t>
        </is>
      </c>
      <c r="B11" s="65" t="inlineStr">
        <is>
          <t>WF002</t>
        </is>
      </c>
      <c r="C11" s="82" t="inlineStr">
        <is>
          <t>triggers rule</t>
        </is>
      </c>
      <c r="D11" s="85" t="inlineStr">
        <is>
          <t>Rule</t>
        </is>
      </c>
      <c r="E11" s="65" t="inlineStr">
        <is>
          <t>BR007</t>
        </is>
      </c>
      <c r="F11" s="58" t="inlineStr">
        <is>
          <t>Fraud score threshold 0.85</t>
        </is>
      </c>
    </row>
    <row r="12" ht="21.75" customHeight="1" s="52">
      <c r="A12" s="75" t="inlineStr">
        <is>
          <t>Workflow</t>
        </is>
      </c>
      <c r="B12" s="66" t="inlineStr">
        <is>
          <t>WF003</t>
        </is>
      </c>
      <c r="C12" s="84" t="inlineStr">
        <is>
          <t>triggers rule</t>
        </is>
      </c>
      <c r="D12" s="85" t="inlineStr">
        <is>
          <t>Rule</t>
        </is>
      </c>
      <c r="E12" s="66" t="inlineStr">
        <is>
          <t>BR008</t>
        </is>
      </c>
      <c r="F12" s="67" t="inlineStr">
        <is>
          <t>Consent token validation</t>
        </is>
      </c>
    </row>
    <row r="13" ht="21.75" customHeight="1" s="52">
      <c r="A13" s="75" t="inlineStr">
        <is>
          <t>Workflow</t>
        </is>
      </c>
      <c r="B13" s="65" t="inlineStr">
        <is>
          <t>WF003</t>
        </is>
      </c>
      <c r="C13" s="82" t="inlineStr">
        <is>
          <t>triggers rule</t>
        </is>
      </c>
      <c r="D13" s="85" t="inlineStr">
        <is>
          <t>Rule</t>
        </is>
      </c>
      <c r="E13" s="65" t="inlineStr">
        <is>
          <t>BR009</t>
        </is>
      </c>
      <c r="F13" s="58" t="inlineStr">
        <is>
          <t>TPP registry verification</t>
        </is>
      </c>
    </row>
    <row r="14" ht="21.75" customHeight="1" s="52">
      <c r="A14" s="85" t="inlineStr">
        <is>
          <t>Rule</t>
        </is>
      </c>
      <c r="B14" s="66" t="inlineStr">
        <is>
          <t>BR001</t>
        </is>
      </c>
      <c r="C14" s="84" t="inlineStr">
        <is>
          <t>implements</t>
        </is>
      </c>
      <c r="D14" s="86" t="inlineStr">
        <is>
          <t>Requirement</t>
        </is>
      </c>
      <c r="E14" s="66" t="inlineStr">
        <is>
          <t>REQ-001</t>
        </is>
      </c>
      <c r="F14" s="67" t="inlineStr">
        <is>
          <t>SCA 2-factor enforcement</t>
        </is>
      </c>
    </row>
    <row r="15" ht="21.75" customHeight="1" s="52">
      <c r="A15" s="85" t="inlineStr">
        <is>
          <t>Rule</t>
        </is>
      </c>
      <c r="B15" s="65" t="inlineStr">
        <is>
          <t>BR001</t>
        </is>
      </c>
      <c r="C15" s="82" t="inlineStr">
        <is>
          <t>controls field</t>
        </is>
      </c>
      <c r="D15" s="57" t="inlineStr">
        <is>
          <t>Field</t>
        </is>
      </c>
      <c r="E15" s="65" t="inlineStr">
        <is>
          <t>TXN.sca_method</t>
        </is>
      </c>
      <c r="F15" s="58" t="inlineStr">
        <is>
          <t>Authentication method tracking</t>
        </is>
      </c>
    </row>
    <row r="16" ht="21.75" customHeight="1" s="52">
      <c r="A16" s="85" t="inlineStr">
        <is>
          <t>Rule</t>
        </is>
      </c>
      <c r="B16" s="66" t="inlineStr">
        <is>
          <t>BR001</t>
        </is>
      </c>
      <c r="C16" s="84" t="inlineStr">
        <is>
          <t>controls field</t>
        </is>
      </c>
      <c r="D16" s="57" t="inlineStr">
        <is>
          <t>Field</t>
        </is>
      </c>
      <c r="E16" s="66" t="inlineStr">
        <is>
          <t>TXN.sca_timestamp</t>
        </is>
      </c>
      <c r="F16" s="67" t="inlineStr">
        <is>
          <t>SCA within 300 seconds</t>
        </is>
      </c>
    </row>
    <row r="17" ht="21.75" customHeight="1" s="52">
      <c r="A17" s="85" t="inlineStr">
        <is>
          <t>Rule</t>
        </is>
      </c>
      <c r="B17" s="65" t="inlineStr">
        <is>
          <t>BR003</t>
        </is>
      </c>
      <c r="C17" s="82" t="inlineStr">
        <is>
          <t>implements</t>
        </is>
      </c>
      <c r="D17" s="86" t="inlineStr">
        <is>
          <t>Requirement</t>
        </is>
      </c>
      <c r="E17" s="65" t="inlineStr">
        <is>
          <t>REQ-002</t>
        </is>
      </c>
      <c r="F17" s="58" t="inlineStr">
        <is>
          <t>Velocity: 5 exemptions / 150 EUR</t>
        </is>
      </c>
    </row>
    <row r="18" ht="21.75" customHeight="1" s="52">
      <c r="A18" s="85" t="inlineStr">
        <is>
          <t>Rule</t>
        </is>
      </c>
      <c r="B18" s="66" t="inlineStr">
        <is>
          <t>BR005</t>
        </is>
      </c>
      <c r="C18" s="84" t="inlineStr">
        <is>
          <t>implements</t>
        </is>
      </c>
      <c r="D18" s="86" t="inlineStr">
        <is>
          <t>Requirement</t>
        </is>
      </c>
      <c r="E18" s="66" t="inlineStr">
        <is>
          <t>REQ-004</t>
        </is>
      </c>
      <c r="F18" s="67" t="inlineStr">
        <is>
          <t>IBAN non-discrimination per PSD3</t>
        </is>
      </c>
    </row>
    <row r="19" ht="21.75" customHeight="1" s="52">
      <c r="A19" s="85" t="inlineStr">
        <is>
          <t>Rule</t>
        </is>
      </c>
      <c r="B19" s="65" t="inlineStr">
        <is>
          <t>BR005</t>
        </is>
      </c>
      <c r="C19" s="82" t="inlineStr">
        <is>
          <t>validates field</t>
        </is>
      </c>
      <c r="D19" s="57" t="inlineStr">
        <is>
          <t>Field</t>
        </is>
      </c>
      <c r="E19" s="65" t="inlineStr">
        <is>
          <t>TXN.creditor_iban</t>
        </is>
      </c>
      <c r="F19" s="58" t="inlineStr">
        <is>
          <t>Any EU IBAN processed equally</t>
        </is>
      </c>
    </row>
    <row r="20" ht="21.75" customHeight="1" s="52">
      <c r="A20" s="85" t="inlineStr">
        <is>
          <t>Rule</t>
        </is>
      </c>
      <c r="B20" s="66" t="inlineStr">
        <is>
          <t>BR006</t>
        </is>
      </c>
      <c r="C20" s="84" t="inlineStr">
        <is>
          <t>implements</t>
        </is>
      </c>
      <c r="D20" s="86" t="inlineStr">
        <is>
          <t>Requirement</t>
        </is>
      </c>
      <c r="E20" s="66" t="inlineStr">
        <is>
          <t>REQ-005</t>
        </is>
      </c>
      <c r="F20" s="67" t="inlineStr">
        <is>
          <t>SAR filing within 24 hours</t>
        </is>
      </c>
    </row>
    <row r="21" ht="21.75" customHeight="1" s="52">
      <c r="A21" s="85" t="inlineStr">
        <is>
          <t>Rule</t>
        </is>
      </c>
      <c r="B21" s="65" t="inlineStr">
        <is>
          <t>BR007</t>
        </is>
      </c>
      <c r="C21" s="82" t="inlineStr">
        <is>
          <t>implements</t>
        </is>
      </c>
      <c r="D21" s="86" t="inlineStr">
        <is>
          <t>Requirement</t>
        </is>
      </c>
      <c r="E21" s="65" t="inlineStr">
        <is>
          <t>REQ-006</t>
        </is>
      </c>
      <c r="F21" s="58" t="inlineStr">
        <is>
          <t>Auto-freeze above 0.85</t>
        </is>
      </c>
    </row>
    <row r="22" ht="21.75" customHeight="1" s="52">
      <c r="A22" s="85" t="inlineStr">
        <is>
          <t>Rule</t>
        </is>
      </c>
      <c r="B22" s="66" t="inlineStr">
        <is>
          <t>BR007</t>
        </is>
      </c>
      <c r="C22" s="84" t="inlineStr">
        <is>
          <t>controls field</t>
        </is>
      </c>
      <c r="D22" s="57" t="inlineStr">
        <is>
          <t>Field</t>
        </is>
      </c>
      <c r="E22" s="66" t="inlineStr">
        <is>
          <t>TXN.fraud_score</t>
        </is>
      </c>
      <c r="F22" s="67" t="inlineStr">
        <is>
          <t>ML scoring 0.0-1.0</t>
        </is>
      </c>
    </row>
    <row r="23" ht="21.75" customHeight="1" s="52">
      <c r="A23" s="85" t="inlineStr">
        <is>
          <t>Rule</t>
        </is>
      </c>
      <c r="B23" s="65" t="inlineStr">
        <is>
          <t>BR008</t>
        </is>
      </c>
      <c r="C23" s="82" t="inlineStr">
        <is>
          <t>implements</t>
        </is>
      </c>
      <c r="D23" s="86" t="inlineStr">
        <is>
          <t>Requirement</t>
        </is>
      </c>
      <c r="E23" s="65" t="inlineStr">
        <is>
          <t>REQ-007</t>
        </is>
      </c>
      <c r="F23" s="58" t="inlineStr">
        <is>
          <t>TPP consent validation</t>
        </is>
      </c>
    </row>
    <row r="24" ht="21.75" customHeight="1" s="52">
      <c r="A24" s="85" t="inlineStr">
        <is>
          <t>Rule</t>
        </is>
      </c>
      <c r="B24" s="66" t="inlineStr">
        <is>
          <t>BR009</t>
        </is>
      </c>
      <c r="C24" s="84" t="inlineStr">
        <is>
          <t>implements</t>
        </is>
      </c>
      <c r="D24" s="86" t="inlineStr">
        <is>
          <t>Requirement</t>
        </is>
      </c>
      <c r="E24" s="66" t="inlineStr">
        <is>
          <t>REQ-007</t>
        </is>
      </c>
      <c r="F24" s="67" t="inlineStr">
        <is>
          <t>TPP eIDAS certificate check</t>
        </is>
      </c>
    </row>
    <row r="25" ht="21.75" customHeight="1" s="52">
      <c r="A25" s="83" t="inlineStr">
        <is>
          <t>Endpoint</t>
        </is>
      </c>
      <c r="B25" s="65" t="inlineStr">
        <is>
          <t>EP01</t>
        </is>
      </c>
      <c r="C25" s="82" t="inlineStr">
        <is>
          <t>enforces</t>
        </is>
      </c>
      <c r="D25" s="85" t="inlineStr">
        <is>
          <t>Rule</t>
        </is>
      </c>
      <c r="E25" s="65" t="inlineStr">
        <is>
          <t>BR001+BR005</t>
        </is>
      </c>
      <c r="F25" s="58" t="inlineStr">
        <is>
          <t>SCA + IBAN on payment initiation</t>
        </is>
      </c>
    </row>
    <row r="26" ht="21.75" customHeight="1" s="52">
      <c r="A26" s="83" t="inlineStr">
        <is>
          <t>Endpoint</t>
        </is>
      </c>
      <c r="B26" s="66" t="inlineStr">
        <is>
          <t>EP03</t>
        </is>
      </c>
      <c r="C26" s="84" t="inlineStr">
        <is>
          <t>enforces</t>
        </is>
      </c>
      <c r="D26" s="85" t="inlineStr">
        <is>
          <t>Rule</t>
        </is>
      </c>
      <c r="E26" s="66" t="inlineStr">
        <is>
          <t>BR007</t>
        </is>
      </c>
      <c r="F26" s="67" t="inlineStr">
        <is>
          <t>Fraud scoring in pipeline</t>
        </is>
      </c>
    </row>
    <row r="27" ht="21.75" customHeight="1" s="52">
      <c r="A27" s="83" t="inlineStr">
        <is>
          <t>Endpoint</t>
        </is>
      </c>
      <c r="B27" s="65" t="inlineStr">
        <is>
          <t>EP04</t>
        </is>
      </c>
      <c r="C27" s="82" t="inlineStr">
        <is>
          <t>enforces</t>
        </is>
      </c>
      <c r="D27" s="85" t="inlineStr">
        <is>
          <t>Rule</t>
        </is>
      </c>
      <c r="E27" s="65" t="inlineStr">
        <is>
          <t>BR008+BR009+BR010</t>
        </is>
      </c>
      <c r="F27" s="58" t="inlineStr">
        <is>
          <t>Open Banking triple check</t>
        </is>
      </c>
    </row>
    <row r="28" ht="21.75" customHeight="1" s="52">
      <c r="A28" s="83" t="inlineStr">
        <is>
          <t>Endpoint</t>
        </is>
      </c>
      <c r="B28" s="66" t="inlineStr">
        <is>
          <t>EP05</t>
        </is>
      </c>
      <c r="C28" s="84" t="inlineStr">
        <is>
          <t>enforces</t>
        </is>
      </c>
      <c r="D28" s="85" t="inlineStr">
        <is>
          <t>Rule</t>
        </is>
      </c>
      <c r="E28" s="66" t="inlineStr">
        <is>
          <t>BR006</t>
        </is>
      </c>
      <c r="F28" s="67" t="inlineStr">
        <is>
          <t>SAR filing endpoint</t>
        </is>
      </c>
    </row>
    <row r="29" ht="21.75" customHeight="1" s="52">
      <c r="A29" s="57" t="inlineStr">
        <is>
          <t>Field</t>
        </is>
      </c>
      <c r="B29" s="65" t="inlineStr">
        <is>
          <t>TXN.instant_payment_flag</t>
        </is>
      </c>
      <c r="C29" s="82" t="inlineStr">
        <is>
          <t>status: TBI</t>
        </is>
      </c>
      <c r="D29" s="58" t="inlineStr">
        <is>
          <t>Source</t>
        </is>
      </c>
      <c r="E29" s="65" t="inlineStr">
        <is>
          <t>N/A</t>
        </is>
      </c>
      <c r="F29" s="58" t="inlineStr">
        <is>
          <t>SEPA Instant not yet implemented</t>
        </is>
      </c>
    </row>
    <row r="30" ht="21.75" customHeight="1" s="52">
      <c r="A30" s="57" t="inlineStr">
        <is>
          <t>Field</t>
        </is>
      </c>
      <c r="B30" s="66" t="inlineStr">
        <is>
          <t>TXN.digital_euro_flag</t>
        </is>
      </c>
      <c r="C30" s="84" t="inlineStr">
        <is>
          <t>status: TBI</t>
        </is>
      </c>
      <c r="D30" s="58" t="inlineStr">
        <is>
          <t>Source</t>
        </is>
      </c>
      <c r="E30" s="66" t="inlineStr">
        <is>
          <t>N/A</t>
        </is>
      </c>
      <c r="F30" s="67" t="inlineStr">
        <is>
          <t>PSD3 digital euro pending</t>
        </is>
      </c>
    </row>
    <row r="31" ht="21.75" customHeight="1" s="52">
      <c r="A31" s="57" t="inlineStr">
        <is>
          <t>Field</t>
        </is>
      </c>
      <c r="B31" s="65" t="inlineStr">
        <is>
          <t>TXN.confirmation_of_payee</t>
        </is>
      </c>
      <c r="C31" s="82" t="inlineStr">
        <is>
          <t>status: TBI</t>
        </is>
      </c>
      <c r="D31" s="58" t="inlineStr">
        <is>
          <t>Source</t>
        </is>
      </c>
      <c r="E31" s="65" t="inlineStr">
        <is>
          <t>N/A</t>
        </is>
      </c>
      <c r="F31" s="58" t="inlineStr">
        <is>
          <t>CoP framework not finalised</t>
        </is>
      </c>
    </row>
    <row r="32" ht="21.75" customHeight="1" s="52">
      <c r="A32" s="57" t="inlineStr">
        <is>
          <t>Field</t>
        </is>
      </c>
      <c r="B32" s="66" t="inlineStr">
        <is>
          <t>TXN.request_to_pay_ref</t>
        </is>
      </c>
      <c r="C32" s="84" t="inlineStr">
        <is>
          <t>status: TBI</t>
        </is>
      </c>
      <c r="D32" s="58" t="inlineStr">
        <is>
          <t>Source</t>
        </is>
      </c>
      <c r="E32" s="66" t="inlineStr">
        <is>
          <t>N/A</t>
        </is>
      </c>
      <c r="F32" s="67" t="inlineStr">
        <is>
          <t>R2P spec pending finalisation</t>
        </is>
      </c>
    </row>
  </sheetData>
  <autoFilter ref="A4:F32"/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5" customWidth="1" style="51" min="1" max="1"/>
    <col width="16" customWidth="1" style="51" min="2" max="8"/>
  </cols>
  <sheetData>
    <row r="1" ht="27.75" customHeight="1" s="52">
      <c r="A1" s="87" t="inlineStr">
        <is>
          <t>RACI Matrix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 s="52">
      <c r="A2" s="88" t="inlineStr">
        <is>
          <t>R = Responsible (does the work)  |  A = Accountable (owns the outcome)  |  C = Consulted (provides input)  |  I = Informed (kept updated)</t>
        </is>
      </c>
      <c r="B2" s="54" t="n"/>
      <c r="C2" s="54" t="n"/>
      <c r="D2" s="54" t="n"/>
      <c r="E2" s="54" t="n"/>
      <c r="F2" s="54" t="n"/>
      <c r="G2" s="54" t="n"/>
      <c r="H2" s="54" t="n"/>
    </row>
    <row r="4" ht="31.5" customHeight="1" s="52">
      <c r="A4" s="64" t="inlineStr">
        <is>
          <t>Deliverable / Activity</t>
        </is>
      </c>
      <c r="B4" s="64" t="inlineStr">
        <is>
          <t>Compliance Officer</t>
        </is>
      </c>
      <c r="C4" s="64" t="inlineStr">
        <is>
          <t>Payment Ops Mgr</t>
        </is>
      </c>
      <c r="D4" s="64" t="inlineStr">
        <is>
          <t>Customer Service</t>
        </is>
      </c>
      <c r="E4" s="64" t="inlineStr">
        <is>
          <t>PSD3 Gateway</t>
        </is>
      </c>
      <c r="F4" s="64" t="inlineStr">
        <is>
          <t>AML Engine</t>
        </is>
      </c>
      <c r="G4" s="64" t="inlineStr">
        <is>
          <t>OB Gateway</t>
        </is>
      </c>
      <c r="H4" s="64" t="inlineStr">
        <is>
          <t>Fraud Scheduler</t>
        </is>
      </c>
    </row>
    <row r="5" ht="15" customHeight="1" s="52">
      <c r="A5" s="63" t="inlineStr">
        <is>
          <t>SCA implementation</t>
        </is>
      </c>
      <c r="B5" s="89" t="inlineStr">
        <is>
          <t>A</t>
        </is>
      </c>
      <c r="C5" s="90" t="inlineStr">
        <is>
          <t>C</t>
        </is>
      </c>
      <c r="D5" s="91" t="n"/>
      <c r="E5" s="92" t="inlineStr">
        <is>
          <t>R</t>
        </is>
      </c>
      <c r="F5" s="91" t="n"/>
      <c r="G5" s="91" t="n"/>
      <c r="H5" s="91" t="n"/>
    </row>
    <row r="6" ht="15" customHeight="1" s="52">
      <c r="A6" s="93" t="inlineStr">
        <is>
          <t>AML screening rules</t>
        </is>
      </c>
      <c r="B6" s="89" t="inlineStr">
        <is>
          <t>A</t>
        </is>
      </c>
      <c r="C6" s="91" t="n"/>
      <c r="D6" s="91" t="n"/>
      <c r="E6" s="91" t="n"/>
      <c r="F6" s="92" t="inlineStr">
        <is>
          <t>R</t>
        </is>
      </c>
      <c r="G6" s="91" t="n"/>
      <c r="H6" s="91" t="n"/>
    </row>
    <row r="7" ht="15" customHeight="1" s="52">
      <c r="A7" s="63" t="inlineStr">
        <is>
          <t>Fraud detection model</t>
        </is>
      </c>
      <c r="B7" s="90" t="inlineStr">
        <is>
          <t>C</t>
        </is>
      </c>
      <c r="C7" s="89" t="inlineStr">
        <is>
          <t>A</t>
        </is>
      </c>
      <c r="D7" s="91" t="n"/>
      <c r="E7" s="91" t="n"/>
      <c r="F7" s="91" t="n"/>
      <c r="G7" s="91" t="n"/>
      <c r="H7" s="92" t="inlineStr">
        <is>
          <t>R</t>
        </is>
      </c>
    </row>
    <row r="8" ht="15" customHeight="1" s="52">
      <c r="A8" s="93" t="inlineStr">
        <is>
          <t>Open Banking API specs</t>
        </is>
      </c>
      <c r="B8" s="89" t="inlineStr">
        <is>
          <t>A</t>
        </is>
      </c>
      <c r="C8" s="91" t="n"/>
      <c r="D8" s="91" t="n"/>
      <c r="E8" s="91" t="n"/>
      <c r="F8" s="91" t="n"/>
      <c r="G8" s="92" t="inlineStr">
        <is>
          <t>R</t>
        </is>
      </c>
      <c r="H8" s="91" t="n"/>
    </row>
    <row r="9" ht="15" customHeight="1" s="52">
      <c r="A9" s="63" t="inlineStr">
        <is>
          <t>IBAN non-discrimination</t>
        </is>
      </c>
      <c r="B9" s="89" t="inlineStr">
        <is>
          <t>A</t>
        </is>
      </c>
      <c r="C9" s="91" t="n"/>
      <c r="D9" s="91" t="n"/>
      <c r="E9" s="92" t="inlineStr">
        <is>
          <t>R</t>
        </is>
      </c>
      <c r="F9" s="91" t="n"/>
      <c r="G9" s="91" t="n"/>
      <c r="H9" s="91" t="n"/>
    </row>
    <row r="10" ht="15" customHeight="1" s="52">
      <c r="A10" s="93" t="inlineStr">
        <is>
          <t>Consent management</t>
        </is>
      </c>
      <c r="B10" s="89" t="inlineStr">
        <is>
          <t>A</t>
        </is>
      </c>
      <c r="C10" s="91" t="n"/>
      <c r="D10" s="90" t="inlineStr">
        <is>
          <t>C</t>
        </is>
      </c>
      <c r="E10" s="91" t="n"/>
      <c r="F10" s="91" t="n"/>
      <c r="G10" s="92" t="inlineStr">
        <is>
          <t>R</t>
        </is>
      </c>
      <c r="H10" s="91" t="n"/>
    </row>
    <row r="11" ht="15" customHeight="1" s="52">
      <c r="A11" s="63" t="inlineStr">
        <is>
          <t>SAR filing process</t>
        </is>
      </c>
      <c r="B11" s="92" t="inlineStr">
        <is>
          <t>R</t>
        </is>
      </c>
      <c r="C11" s="90" t="inlineStr">
        <is>
          <t>C</t>
        </is>
      </c>
      <c r="D11" s="91" t="n"/>
      <c r="E11" s="91" t="n"/>
      <c r="F11" s="91" t="n"/>
      <c r="G11" s="91" t="n"/>
      <c r="H11" s="91" t="n"/>
    </row>
    <row r="12" ht="15" customHeight="1" s="52">
      <c r="A12" s="93" t="inlineStr">
        <is>
          <t>Regulatory reporting</t>
        </is>
      </c>
      <c r="B12" s="92" t="inlineStr">
        <is>
          <t>R</t>
        </is>
      </c>
      <c r="C12" s="90" t="inlineStr">
        <is>
          <t>C</t>
        </is>
      </c>
      <c r="D12" s="91" t="n"/>
      <c r="E12" s="91" t="n"/>
      <c r="F12" s="91" t="n"/>
      <c r="G12" s="91" t="n"/>
      <c r="H12" s="91" t="n"/>
    </row>
    <row r="13" ht="15" customHeight="1" s="52">
      <c r="A13" s="63" t="inlineStr">
        <is>
          <t>UAT execution</t>
        </is>
      </c>
      <c r="B13" s="89" t="inlineStr">
        <is>
          <t>A</t>
        </is>
      </c>
      <c r="C13" s="92" t="inlineStr">
        <is>
          <t>R</t>
        </is>
      </c>
      <c r="D13" s="92" t="inlineStr">
        <is>
          <t>R</t>
        </is>
      </c>
      <c r="E13" s="91" t="n"/>
      <c r="F13" s="91" t="n"/>
      <c r="G13" s="91" t="n"/>
      <c r="H13" s="91" t="n"/>
    </row>
    <row r="14" ht="15" customHeight="1" s="52">
      <c r="A14" s="93" t="inlineStr">
        <is>
          <t>Go-live decision</t>
        </is>
      </c>
      <c r="B14" s="89" t="inlineStr">
        <is>
          <t>A</t>
        </is>
      </c>
      <c r="C14" s="92" t="inlineStr">
        <is>
          <t>R</t>
        </is>
      </c>
      <c r="D14" s="91" t="n"/>
      <c r="E14" s="91" t="n"/>
      <c r="F14" s="91" t="n"/>
      <c r="G14" s="91" t="n"/>
      <c r="H14" s="91" t="n"/>
    </row>
  </sheetData>
  <autoFilter ref="A4:H14"/>
  <mergeCells count="2">
    <mergeCell ref="A2:H2"/>
    <mergeCell ref="A1:H1"/>
  </mergeCells>
  <dataValidations count="7">
    <dataValidation sqref="B5:B14" showDropDown="0" showInputMessage="0" showErrorMessage="0" allowBlank="1" error="Select a valid option" type="list" errorStyle="stop" operator="between">
      <formula1>"R,A,C,I,"</formula1>
      <formula2>0</formula2>
    </dataValidation>
    <dataValidation sqref="C5:C14" showDropDown="0" showInputMessage="0" showErrorMessage="0" allowBlank="1" error="Select a valid option" type="list" errorStyle="stop" operator="between">
      <formula1>"R,A,C,I,"</formula1>
      <formula2>0</formula2>
    </dataValidation>
    <dataValidation sqref="D5:D14" showDropDown="0" showInputMessage="0" showErrorMessage="0" allowBlank="1" error="Select a valid option" type="list" errorStyle="stop" operator="between">
      <formula1>"R,A,C,I,"</formula1>
      <formula2>0</formula2>
    </dataValidation>
    <dataValidation sqref="E5:E14" showDropDown="0" showInputMessage="0" showErrorMessage="0" allowBlank="1" error="Select a valid option" type="list" errorStyle="stop" operator="between">
      <formula1>"R,A,C,I,"</formula1>
      <formula2>0</formula2>
    </dataValidation>
    <dataValidation sqref="F5:F14" showDropDown="0" showInputMessage="0" showErrorMessage="0" allowBlank="1" error="Select a valid option" type="list" errorStyle="stop" operator="between">
      <formula1>"R,A,C,I,"</formula1>
      <formula2>0</formula2>
    </dataValidation>
    <dataValidation sqref="G5:G14" showDropDown="0" showInputMessage="0" showErrorMessage="0" allowBlank="1" error="Select a valid option" type="list" errorStyle="stop" operator="between">
      <formula1>"R,A,C,I,"</formula1>
      <formula2>0</formula2>
    </dataValidation>
    <dataValidation sqref="H5:H14" showDropDown="0" showInputMessage="0" showErrorMessage="0" allowBlank="1" error="Select a valid option" type="list" errorStyle="stop" operator="between">
      <formula1>"R,A,C,I,"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91B1B"/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1" min="1" max="1"/>
    <col width="45" customWidth="1" style="51" min="2" max="2"/>
    <col width="16" customWidth="1" style="51" min="3" max="3"/>
    <col width="14" customWidth="1" style="51" min="4" max="5"/>
    <col width="8" customWidth="1" style="51" min="6" max="6"/>
    <col width="45" customWidth="1" style="51" min="7" max="7"/>
    <col width="18" customWidth="1" style="51" min="8" max="8"/>
    <col width="12" customWidth="1" style="51" min="9" max="10"/>
  </cols>
  <sheetData>
    <row r="1" ht="27.75" customHeight="1" s="52">
      <c r="A1" s="87" t="inlineStr">
        <is>
          <t>Risk Register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</row>
    <row r="3" ht="31.5" customHeight="1" s="52">
      <c r="A3" s="94" t="inlineStr">
        <is>
          <t>Risk ID</t>
        </is>
      </c>
      <c r="B3" s="94" t="inlineStr">
        <is>
          <t>Description</t>
        </is>
      </c>
      <c r="C3" s="94" t="inlineStr">
        <is>
          <t>Category</t>
        </is>
      </c>
      <c r="D3" s="94" t="inlineStr">
        <is>
          <t>Probability (1-5)</t>
        </is>
      </c>
      <c r="E3" s="94" t="inlineStr">
        <is>
          <t>Impact (1-5)</t>
        </is>
      </c>
      <c r="F3" s="94" t="inlineStr">
        <is>
          <t>Score</t>
        </is>
      </c>
      <c r="G3" s="94" t="inlineStr">
        <is>
          <t>Mitigation</t>
        </is>
      </c>
      <c r="H3" s="94" t="inlineStr">
        <is>
          <t>Owner</t>
        </is>
      </c>
      <c r="I3" s="94" t="inlineStr">
        <is>
          <t>Status</t>
        </is>
      </c>
      <c r="J3" s="94" t="inlineStr">
        <is>
          <t>Linked REQ</t>
        </is>
      </c>
    </row>
    <row r="4" ht="23.85" customHeight="1" s="52">
      <c r="A4" s="65" t="inlineStr">
        <is>
          <t>RSK-001</t>
        </is>
      </c>
      <c r="B4" s="58" t="inlineStr">
        <is>
          <t>PSD3 SCA exemption thresholds may change before go-live (30 EUR / 150 EUR cumulative under review)</t>
        </is>
      </c>
      <c r="C4" s="58" t="inlineStr">
        <is>
          <t>Regulatory</t>
        </is>
      </c>
      <c r="D4" s="91" t="n">
        <v>4</v>
      </c>
      <c r="E4" s="91" t="n">
        <v>3</v>
      </c>
      <c r="F4" s="95">
        <f>D4*E4</f>
        <v/>
      </c>
      <c r="G4" s="58" t="inlineStr">
        <is>
          <t>Parameterise thresholds in config. Monitor EBA regulatory updates weekly.</t>
        </is>
      </c>
      <c r="H4" s="58" t="inlineStr">
        <is>
          <t>Regulatory Affairs</t>
        </is>
      </c>
      <c r="I4" s="58" t="inlineStr">
        <is>
          <t>Open</t>
        </is>
      </c>
      <c r="J4" s="65" t="inlineStr">
        <is>
          <t>REQ-001</t>
        </is>
      </c>
    </row>
    <row r="5" ht="23.85" customHeight="1" s="52">
      <c r="A5" s="66" t="inlineStr">
        <is>
          <t>RSK-002</t>
        </is>
      </c>
      <c r="B5" s="67" t="inlineStr">
        <is>
          <t>ML fraud model v3.2.1 may produce unacceptable false positive rate on new transaction patterns</t>
        </is>
      </c>
      <c r="C5" s="67" t="inlineStr">
        <is>
          <t>Technical</t>
        </is>
      </c>
      <c r="D5" s="96" t="n">
        <v>3</v>
      </c>
      <c r="E5" s="96" t="n">
        <v>4</v>
      </c>
      <c r="F5" s="97">
        <f>D5*E5</f>
        <v/>
      </c>
      <c r="G5" s="67" t="inlineStr">
        <is>
          <t>Retrain on 2025-2026 data. A/B test before full deployment. Rule-based fallback.</t>
        </is>
      </c>
      <c r="H5" s="67" t="inlineStr">
        <is>
          <t>Data Science</t>
        </is>
      </c>
      <c r="I5" s="67" t="inlineStr">
        <is>
          <t>Mitigating</t>
        </is>
      </c>
      <c r="J5" s="66" t="inlineStr">
        <is>
          <t>REQ-006</t>
        </is>
      </c>
    </row>
    <row r="6" ht="23.85" customHeight="1" s="52">
      <c r="A6" s="65" t="inlineStr">
        <is>
          <t>RSK-003</t>
        </is>
      </c>
      <c r="B6" s="58" t="inlineStr">
        <is>
          <t>Confirmation of Payee framework may become mandatory under PSD3 final text without implementation ready</t>
        </is>
      </c>
      <c r="C6" s="58" t="inlineStr">
        <is>
          <t>Regulatory</t>
        </is>
      </c>
      <c r="D6" s="91" t="n">
        <v>3</v>
      </c>
      <c r="E6" s="91" t="n">
        <v>4</v>
      </c>
      <c r="F6" s="95">
        <f>D6*E6</f>
        <v/>
      </c>
      <c r="G6" s="58" t="inlineStr">
        <is>
          <t>Monitor EU Council negotiations. Pre-build CoP stub endpoint. Budget for rapid implementation.</t>
        </is>
      </c>
      <c r="H6" s="58" t="inlineStr">
        <is>
          <t>Product Team</t>
        </is>
      </c>
      <c r="I6" s="58" t="inlineStr">
        <is>
          <t>Open</t>
        </is>
      </c>
      <c r="J6" s="65" t="n"/>
    </row>
    <row r="7" ht="23.85" customHeight="1" s="52">
      <c r="A7" s="66" t="inlineStr">
        <is>
          <t>RSK-004</t>
        </is>
      </c>
      <c r="B7" s="67" t="inlineStr">
        <is>
          <t>SEPA Instant Payment mandatory adoption timeline unclear — infrastructure upgrade required</t>
        </is>
      </c>
      <c r="C7" s="67" t="inlineStr">
        <is>
          <t>Technical</t>
        </is>
      </c>
      <c r="D7" s="96" t="n">
        <v>4</v>
      </c>
      <c r="E7" s="96" t="n">
        <v>5</v>
      </c>
      <c r="F7" s="97">
        <f>D7*E7</f>
        <v/>
      </c>
      <c r="G7" s="67" t="inlineStr">
        <is>
          <t>Begin SCT Inst infrastructure assessment. Engage clearing house early. Budget for 24/7 operations.</t>
        </is>
      </c>
      <c r="H7" s="67" t="inlineStr">
        <is>
          <t>Infrastructure</t>
        </is>
      </c>
      <c r="I7" s="67" t="inlineStr">
        <is>
          <t>Open</t>
        </is>
      </c>
      <c r="J7" s="66" t="n"/>
    </row>
  </sheetData>
  <autoFilter ref="A3:J7"/>
  <mergeCells count="1">
    <mergeCell ref="A1:J1"/>
  </mergeCells>
  <conditionalFormatting sqref="F4:F7">
    <cfRule type="cellIs" rank="0" priority="2" equalAverage="0" operator="greaterThanOrEqual" aboveAverage="0" dxfId="19" text="" percent="0" bottom="0">
      <formula>15</formula>
    </cfRule>
    <cfRule type="cellIs" rank="0" priority="3" equalAverage="0" operator="between" aboveAverage="0" dxfId="13" text="" percent="0" bottom="0">
      <formula>8</formula>
      <formula>14</formula>
    </cfRule>
    <cfRule type="cellIs" rank="0" priority="4" equalAverage="0" operator="lessThanOrEqual" aboveAverage="0" dxfId="14" text="" percent="0" bottom="0">
      <formula>7</formula>
    </cfRule>
  </conditionalFormatting>
  <dataValidations count="2">
    <dataValidation sqref="C4:C7" showDropDown="0" showInputMessage="0" showErrorMessage="0" allowBlank="1" error="Select a valid option" type="list" errorStyle="stop" operator="between">
      <formula1>"Technical,Operational,Regulatory,Financial,Organisational,External,Data Quality,Integration"</formula1>
      <formula2>0</formula2>
    </dataValidation>
    <dataValidation sqref="I4:I7" showDropDown="0" showInputMessage="0" showErrorMessage="0" allowBlank="1" error="Select a valid option" type="list" errorStyle="stop" operator="between">
      <formula1>"Open,Mitigating,Accepted,Closed,Escalated"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1" min="1" max="1"/>
    <col width="16" customWidth="1" style="51" min="2" max="2"/>
    <col width="45" customWidth="1" style="51" min="3" max="3"/>
    <col width="18" customWidth="1" style="51" min="4" max="4"/>
    <col width="16" customWidth="1" style="51" min="5" max="5"/>
    <col width="30" customWidth="1" style="51" min="6" max="6"/>
    <col width="10" customWidth="1" style="51" min="7" max="7"/>
    <col width="12" customWidth="1" style="51" min="8" max="8"/>
  </cols>
  <sheetData>
    <row r="1" ht="27.75" customHeight="1" s="52">
      <c r="A1" s="87" t="inlineStr">
        <is>
          <t>Non-Functional Requirements</t>
        </is>
      </c>
      <c r="B1" s="54" t="n"/>
      <c r="C1" s="54" t="n"/>
      <c r="D1" s="54" t="n"/>
      <c r="E1" s="54" t="n"/>
      <c r="F1" s="54" t="n"/>
      <c r="G1" s="54" t="n"/>
      <c r="H1" s="54" t="n"/>
    </row>
    <row r="3" ht="31.5" customHeight="1" s="52">
      <c r="A3" s="98" t="inlineStr">
        <is>
          <t>NFR ID</t>
        </is>
      </c>
      <c r="B3" s="98" t="inlineStr">
        <is>
          <t>Category</t>
        </is>
      </c>
      <c r="C3" s="98" t="inlineStr">
        <is>
          <t>Requirement</t>
        </is>
      </c>
      <c r="D3" s="98" t="inlineStr">
        <is>
          <t>Metric</t>
        </is>
      </c>
      <c r="E3" s="98" t="inlineStr">
        <is>
          <t>Target</t>
        </is>
      </c>
      <c r="F3" s="98" t="inlineStr">
        <is>
          <t>Measurement Method</t>
        </is>
      </c>
      <c r="G3" s="98" t="inlineStr">
        <is>
          <t>Priority</t>
        </is>
      </c>
      <c r="H3" s="98" t="inlineStr">
        <is>
          <t>Linked Entity</t>
        </is>
      </c>
    </row>
    <row r="4" ht="23.85" customHeight="1" s="52">
      <c r="A4" s="65" t="inlineStr">
        <is>
          <t>NFR-001</t>
        </is>
      </c>
      <c r="B4" s="58" t="inlineStr">
        <is>
          <t>Performance</t>
        </is>
      </c>
      <c r="C4" s="58" t="inlineStr">
        <is>
          <t>SEPA payment end-to-end processing must complete within 10 seconds including SCA</t>
        </is>
      </c>
      <c r="D4" s="58" t="inlineStr">
        <is>
          <t>Transaction time (p95)</t>
        </is>
      </c>
      <c r="E4" s="58" t="inlineStr">
        <is>
          <t>&lt; 10,000 ms</t>
        </is>
      </c>
      <c r="F4" s="58" t="inlineStr">
        <is>
          <t>APM tracing across full pipeline. Load test with 1000 concurrent payments.</t>
        </is>
      </c>
      <c r="G4" s="91" t="inlineStr">
        <is>
          <t>Critical</t>
        </is>
      </c>
      <c r="H4" s="65" t="inlineStr">
        <is>
          <t>TXN</t>
        </is>
      </c>
    </row>
    <row r="5" ht="23.85" customHeight="1" s="52">
      <c r="A5" s="66" t="inlineStr">
        <is>
          <t>NFR-002</t>
        </is>
      </c>
      <c r="B5" s="67" t="inlineStr">
        <is>
          <t>Availability</t>
        </is>
      </c>
      <c r="C5" s="67" t="inlineStr">
        <is>
          <t>Payment processing must be available 99.99% (max 4 minutes downtime per month)</t>
        </is>
      </c>
      <c r="D5" s="67" t="inlineStr">
        <is>
          <t>Uptime</t>
        </is>
      </c>
      <c r="E5" s="67" t="inlineStr">
        <is>
          <t>&gt; 99.99%</t>
        </is>
      </c>
      <c r="F5" s="67" t="inlineStr">
        <is>
          <t>Multi-AZ deployment. Synthetic monitoring. Automated failover.</t>
        </is>
      </c>
      <c r="G5" s="96" t="inlineStr">
        <is>
          <t>Critical</t>
        </is>
      </c>
      <c r="H5" s="67" t="n"/>
    </row>
    <row r="6" ht="23.85" customHeight="1" s="52">
      <c r="A6" s="65" t="inlineStr">
        <is>
          <t>NFR-003</t>
        </is>
      </c>
      <c r="B6" s="58" t="inlineStr">
        <is>
          <t>Security</t>
        </is>
      </c>
      <c r="C6" s="58" t="inlineStr">
        <is>
          <t>All customer data encrypted in transit (TLS 1.3) and at rest (AES-256)</t>
        </is>
      </c>
      <c r="D6" s="58" t="inlineStr">
        <is>
          <t>Encryption coverage</t>
        </is>
      </c>
      <c r="E6" s="58" t="inlineStr">
        <is>
          <t>100%</t>
        </is>
      </c>
      <c r="F6" s="58" t="inlineStr">
        <is>
          <t>Quarterly penetration test. Certificate rotation. HSM for key management.</t>
        </is>
      </c>
      <c r="G6" s="91" t="inlineStr">
        <is>
          <t>Critical</t>
        </is>
      </c>
      <c r="H6" s="65" t="inlineStr">
        <is>
          <t>TXN</t>
        </is>
      </c>
    </row>
    <row r="7" ht="23.85" customHeight="1" s="52">
      <c r="A7" s="66" t="inlineStr">
        <is>
          <t>NFR-004</t>
        </is>
      </c>
      <c r="B7" s="67" t="inlineStr">
        <is>
          <t>Scalability</t>
        </is>
      </c>
      <c r="C7" s="67" t="inlineStr">
        <is>
          <t>System must handle 10,000 transactions per second during peak periods</t>
        </is>
      </c>
      <c r="D7" s="67" t="inlineStr">
        <is>
          <t>TPS capacity</t>
        </is>
      </c>
      <c r="E7" s="67" t="inlineStr">
        <is>
          <t>10,000 TPS</t>
        </is>
      </c>
      <c r="F7" s="67" t="inlineStr">
        <is>
          <t>Horizontal auto-scaling. Load test simulating Black Friday volumes.</t>
        </is>
      </c>
      <c r="G7" s="96" t="inlineStr">
        <is>
          <t>High</t>
        </is>
      </c>
      <c r="H7" s="66" t="inlineStr">
        <is>
          <t>TXN</t>
        </is>
      </c>
    </row>
    <row r="8" ht="23.85" customHeight="1" s="52">
      <c r="A8" s="65" t="inlineStr">
        <is>
          <t>NFR-005</t>
        </is>
      </c>
      <c r="B8" s="58" t="inlineStr">
        <is>
          <t>Compliance</t>
        </is>
      </c>
      <c r="C8" s="58" t="inlineStr">
        <is>
          <t>Fraud scoring model must be explainable and auditable per AI Act requirements</t>
        </is>
      </c>
      <c r="D8" s="58" t="inlineStr">
        <is>
          <t>Explainability score</t>
        </is>
      </c>
      <c r="E8" s="58" t="inlineStr">
        <is>
          <t>SHAP values for each decision</t>
        </is>
      </c>
      <c r="F8" s="58" t="inlineStr">
        <is>
          <t>Model documentation. Bias testing. Regulatory review.</t>
        </is>
      </c>
      <c r="G8" s="91" t="inlineStr">
        <is>
          <t>High</t>
        </is>
      </c>
      <c r="H8" s="65" t="inlineStr">
        <is>
          <t>TXN</t>
        </is>
      </c>
    </row>
  </sheetData>
  <autoFilter ref="A3:H8"/>
  <mergeCells count="1">
    <mergeCell ref="A1:H1"/>
  </mergeCells>
  <conditionalFormatting sqref="G4:G8">
    <cfRule type="cellIs" rank="0" priority="2" equalAverage="0" operator="equal" aboveAverage="0" dxfId="19" text="" percent="0" bottom="0">
      <formula>"Critical"</formula>
    </cfRule>
    <cfRule type="cellIs" rank="0" priority="3" equalAverage="0" operator="equal" aboveAverage="0" dxfId="13" text="" percent="0" bottom="0">
      <formula>"High"</formula>
    </cfRule>
  </conditionalFormatting>
  <dataValidations count="2">
    <dataValidation sqref="B4:B8" showDropDown="0" showInputMessage="0" showErrorMessage="0" allowBlank="1" error="Select a valid option" type="list" errorStyle="stop" operator="between">
      <formula1>"Performance,Availability,Security,Scalability,Disaster Recovery,Usability,Maintainability,Compliance"</formula1>
      <formula2>0</formula2>
    </dataValidation>
    <dataValidation sqref="G4:G8" showDropDown="0" showInputMessage="0" showErrorMessage="0" allowBlank="1" error="Select a valid option" type="list" errorStyle="stop" operator="between">
      <formula1>"Critical,High,Medium,Low"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334155"/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14" customWidth="1" style="51" min="2" max="2"/>
    <col width="50" customWidth="1" style="51" min="3" max="3"/>
    <col width="40" customWidth="1" style="51" min="4" max="4"/>
    <col width="12" customWidth="1" style="51" min="5" max="5"/>
    <col width="18" customWidth="1" style="51" min="6" max="6"/>
    <col width="12" customWidth="1" style="51" min="7" max="7"/>
    <col width="10" customWidth="1" style="51" min="8" max="8"/>
  </cols>
  <sheetData>
    <row r="1" ht="27.75" customHeight="1" s="52">
      <c r="A1" s="87" t="inlineStr">
        <is>
          <t>Assumptions &amp; Dependencies</t>
        </is>
      </c>
      <c r="B1" s="54" t="n"/>
      <c r="C1" s="54" t="n"/>
      <c r="D1" s="54" t="n"/>
      <c r="E1" s="54" t="n"/>
      <c r="F1" s="54" t="n"/>
      <c r="G1" s="54" t="n"/>
      <c r="H1" s="54" t="n"/>
    </row>
    <row r="3" ht="31.5" customHeight="1" s="52">
      <c r="A3" s="99" t="inlineStr">
        <is>
          <t>ID</t>
        </is>
      </c>
      <c r="B3" s="99" t="inlineStr">
        <is>
          <t>Type</t>
        </is>
      </c>
      <c r="C3" s="99" t="inlineStr">
        <is>
          <t>Description</t>
        </is>
      </c>
      <c r="D3" s="99" t="inlineStr">
        <is>
          <t>Impact if Wrong</t>
        </is>
      </c>
      <c r="E3" s="99" t="inlineStr">
        <is>
          <t>Validated</t>
        </is>
      </c>
      <c r="F3" s="99" t="inlineStr">
        <is>
          <t>Owner</t>
        </is>
      </c>
      <c r="G3" s="99" t="inlineStr">
        <is>
          <t>Date</t>
        </is>
      </c>
      <c r="H3" s="99" t="inlineStr">
        <is>
          <t>Linked Risk</t>
        </is>
      </c>
    </row>
    <row r="4" ht="23.85" customHeight="1" s="52">
      <c r="A4" s="65" t="inlineStr">
        <is>
          <t>A-001</t>
        </is>
      </c>
      <c r="B4" s="58" t="inlineStr">
        <is>
          <t>Assumption</t>
        </is>
      </c>
      <c r="C4" s="58" t="inlineStr">
        <is>
          <t>National competent authority TPP register API will remain stable during implementation</t>
        </is>
      </c>
      <c r="D4" s="58" t="inlineStr">
        <is>
          <t>If API changes: TPP verification logic needs rebuild. Potential 2-week delay.</t>
        </is>
      </c>
      <c r="E4" s="100" t="inlineStr">
        <is>
          <t>Pending</t>
        </is>
      </c>
      <c r="F4" s="58" t="inlineStr">
        <is>
          <t>Regulatory Affairs</t>
        </is>
      </c>
      <c r="G4" s="58" t="inlineStr">
        <is>
          <t>2026-03-01</t>
        </is>
      </c>
      <c r="H4" s="58" t="n"/>
    </row>
    <row r="5" ht="23.85" customHeight="1" s="52">
      <c r="A5" s="66" t="inlineStr">
        <is>
          <t>A-002</t>
        </is>
      </c>
      <c r="B5" s="67" t="inlineStr">
        <is>
          <t>Dependency</t>
        </is>
      </c>
      <c r="C5" s="67" t="inlineStr">
        <is>
          <t>Core Banking System upgrade to support PSD3 API layer must complete by Q2 2026</t>
        </is>
      </c>
      <c r="D5" s="67" t="inlineStr">
        <is>
          <t>If delayed: no SCA integration point. Entire project timeline shifts.</t>
        </is>
      </c>
      <c r="E5" s="101" t="inlineStr">
        <is>
          <t>No</t>
        </is>
      </c>
      <c r="F5" s="67" t="inlineStr">
        <is>
          <t>CBS Team</t>
        </is>
      </c>
      <c r="G5" s="67" t="inlineStr">
        <is>
          <t>2026-01-15</t>
        </is>
      </c>
      <c r="H5" s="67" t="n"/>
    </row>
    <row r="6" ht="23.85" customHeight="1" s="52">
      <c r="A6" s="65" t="inlineStr">
        <is>
          <t>A-003</t>
        </is>
      </c>
      <c r="B6" s="58" t="inlineStr">
        <is>
          <t>Assumption</t>
        </is>
      </c>
      <c r="C6" s="58" t="inlineStr">
        <is>
          <t>Existing AML screening engine can handle real-time per-transaction screening at production volumes</t>
        </is>
      </c>
      <c r="D6" s="58" t="inlineStr">
        <is>
          <t>If not: need batch-to-realtime migration. 6-8 weeks additional work.</t>
        </is>
      </c>
      <c r="E6" s="100" t="inlineStr">
        <is>
          <t>Pending</t>
        </is>
      </c>
      <c r="F6" s="58" t="inlineStr">
        <is>
          <t>AML Team</t>
        </is>
      </c>
      <c r="G6" s="58" t="inlineStr">
        <is>
          <t>2026-02-01</t>
        </is>
      </c>
      <c r="H6" s="65" t="inlineStr">
        <is>
          <t>RSK-002</t>
        </is>
      </c>
    </row>
  </sheetData>
  <autoFilter ref="A3:H6"/>
  <mergeCells count="1">
    <mergeCell ref="A1:H1"/>
  </mergeCells>
  <dataValidations count="2">
    <dataValidation sqref="B4:B6" showDropDown="0" showInputMessage="0" showErrorMessage="0" allowBlank="1" error="Select a valid option" type="list" errorStyle="stop" operator="between">
      <formula1>"Assumption,Dependency,Constraint"</formula1>
      <formula2>0</formula2>
    </dataValidation>
    <dataValidation sqref="E4:E6" showDropDown="0" showInputMessage="0" showErrorMessage="0" allowBlank="1" error="Select a valid option" type="list" errorStyle="stop" operator="between">
      <formula1>"Yes,No,Pending"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0F172A"/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45" customWidth="1" style="51" min="2" max="3"/>
    <col width="35" customWidth="1" style="51" min="4" max="4"/>
    <col width="18" customWidth="1" style="51" min="5" max="5"/>
    <col width="12" customWidth="1" style="51" min="6" max="7"/>
    <col width="14" customWidth="1" style="51" min="8" max="8"/>
  </cols>
  <sheetData>
    <row r="1" ht="27.75" customHeight="1" s="52">
      <c r="A1" s="87" t="inlineStr">
        <is>
          <t>Decision Log</t>
        </is>
      </c>
      <c r="B1" s="54" t="n"/>
      <c r="C1" s="54" t="n"/>
      <c r="D1" s="54" t="n"/>
      <c r="E1" s="54" t="n"/>
      <c r="F1" s="54" t="n"/>
      <c r="G1" s="54" t="n"/>
      <c r="H1" s="54" t="n"/>
    </row>
    <row r="3" ht="31.5" customHeight="1" s="52">
      <c r="A3" s="77" t="inlineStr">
        <is>
          <t>ID</t>
        </is>
      </c>
      <c r="B3" s="77" t="inlineStr">
        <is>
          <t>Decision</t>
        </is>
      </c>
      <c r="C3" s="77" t="inlineStr">
        <is>
          <t>Rationale</t>
        </is>
      </c>
      <c r="D3" s="77" t="inlineStr">
        <is>
          <t>Alternatives Considered</t>
        </is>
      </c>
      <c r="E3" s="77" t="inlineStr">
        <is>
          <t>Decided By</t>
        </is>
      </c>
      <c r="F3" s="77" t="inlineStr">
        <is>
          <t>Date</t>
        </is>
      </c>
      <c r="G3" s="77" t="inlineStr">
        <is>
          <t>Status</t>
        </is>
      </c>
      <c r="H3" s="77" t="inlineStr">
        <is>
          <t>Linked REQ/BR</t>
        </is>
      </c>
    </row>
    <row r="4" ht="35.05" customHeight="1" s="52">
      <c r="A4" s="65" t="inlineStr">
        <is>
          <t>DEC-001</t>
        </is>
      </c>
      <c r="B4" s="58" t="inlineStr">
        <is>
          <t>Use biometric as primary SCA factor with SMS OTP as fallback</t>
        </is>
      </c>
      <c r="C4" s="58" t="inlineStr">
        <is>
          <t>Biometric has highest completion rate (94% vs 78% SMS). Reduces drop-off during payment.</t>
        </is>
      </c>
      <c r="D4" s="58" t="inlineStr">
        <is>
          <t>1. SMS only (lower completion). 2. App-based TOTP (requires separate app). 3. Hardware token (too expensive).</t>
        </is>
      </c>
      <c r="E4" s="58" t="inlineStr">
        <is>
          <t>Product Committee</t>
        </is>
      </c>
      <c r="F4" s="58" t="inlineStr">
        <is>
          <t>2026-01-20</t>
        </is>
      </c>
      <c r="G4" s="91" t="inlineStr">
        <is>
          <t>Approved</t>
        </is>
      </c>
      <c r="H4" s="65" t="inlineStr">
        <is>
          <t>BR001, REQ-001</t>
        </is>
      </c>
    </row>
    <row r="5" ht="23.85" customHeight="1" s="52">
      <c r="A5" s="66" t="inlineStr">
        <is>
          <t>DEC-002</t>
        </is>
      </c>
      <c r="B5" s="67" t="inlineStr">
        <is>
          <t>Set fraud auto-freeze threshold at 0.85 with manual review queue for 0.65-0.85</t>
        </is>
      </c>
      <c r="C5" s="67" t="inlineStr">
        <is>
          <t>Balances fraud prevention vs customer friction. 0.85 catches 97% of confirmed fraud in backtesting.</t>
        </is>
      </c>
      <c r="D5" s="67" t="inlineStr">
        <is>
          <t>1. Lower threshold 0.7 (too many false positives). 2. No auto-freeze (regulatory risk).</t>
        </is>
      </c>
      <c r="E5" s="67" t="inlineStr">
        <is>
          <t>Risk Committee</t>
        </is>
      </c>
      <c r="F5" s="67" t="inlineStr">
        <is>
          <t>2026-02-10</t>
        </is>
      </c>
      <c r="G5" s="96" t="inlineStr">
        <is>
          <t>Approved</t>
        </is>
      </c>
      <c r="H5" s="66" t="inlineStr">
        <is>
          <t>BR007, REQ-006</t>
        </is>
      </c>
    </row>
  </sheetData>
  <autoFilter ref="A3:H5"/>
  <mergeCells count="1">
    <mergeCell ref="A1:H1"/>
  </mergeCells>
  <conditionalFormatting sqref="G4:G5">
    <cfRule type="cellIs" rank="0" priority="2" equalAverage="0" operator="equal" aboveAverage="0" dxfId="14" text="" percent="0" bottom="0">
      <formula>"Approved"</formula>
    </cfRule>
    <cfRule type="cellIs" rank="0" priority="3" equalAverage="0" operator="equal" aboveAverage="0" dxfId="13" text="" percent="0" bottom="0">
      <formula>"Proposed"</formula>
    </cfRule>
  </conditionalFormatting>
  <dataValidations count="1">
    <dataValidation sqref="G4:G5" showDropDown="0" showInputMessage="0" showErrorMessage="0" allowBlank="1" error="Select a valid option" type="list" errorStyle="stop" operator="between">
      <formula1>"Proposed,Approved,Implemented,Superseded,Deferred"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0369A1"/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1" min="1" max="1"/>
    <col width="14" customWidth="1" style="51" min="2" max="3"/>
    <col width="16" customWidth="1" style="51" min="4" max="7"/>
    <col width="14" customWidth="1" style="51" min="8" max="8"/>
    <col width="22" customWidth="1" style="51" min="9" max="9"/>
  </cols>
  <sheetData>
    <row r="1" ht="27.75" customHeight="1" s="52">
      <c r="A1" s="87" t="inlineStr">
        <is>
          <t>Data Volume &amp; Sizing Estimates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</row>
    <row r="3" ht="31.5" customHeight="1" s="52">
      <c r="A3" s="73" t="inlineStr">
        <is>
          <t>Entity</t>
        </is>
      </c>
      <c r="B3" s="73" t="inlineStr">
        <is>
          <t>Current Rows</t>
        </is>
      </c>
      <c r="C3" s="73" t="inlineStr">
        <is>
          <t>Annual Growth %</t>
        </is>
      </c>
      <c r="D3" s="73" t="inlineStr">
        <is>
          <t>Projected at Go-Live</t>
        </is>
      </c>
      <c r="E3" s="73" t="inlineStr">
        <is>
          <t>Peak Concurrent Users</t>
        </is>
      </c>
      <c r="F3" s="73" t="inlineStr">
        <is>
          <t>API Calls/Min (Peak)</t>
        </is>
      </c>
      <c r="G3" s="73" t="inlineStr">
        <is>
          <t>Avg Record Size (KB)</t>
        </is>
      </c>
      <c r="H3" s="73" t="inlineStr">
        <is>
          <t>Total Storage (GB)</t>
        </is>
      </c>
      <c r="I3" s="73" t="inlineStr">
        <is>
          <t>SLA Target</t>
        </is>
      </c>
    </row>
    <row r="4" ht="15" customHeight="1" s="52">
      <c r="A4" s="63" t="inlineStr">
        <is>
          <t>Payment Transactions</t>
        </is>
      </c>
      <c r="B4" s="91" t="n">
        <v>50000000</v>
      </c>
      <c r="C4" s="91" t="n">
        <v>12</v>
      </c>
      <c r="D4" s="95">
        <f>B4*(1+C4/100)</f>
        <v/>
      </c>
      <c r="E4" s="91" t="n">
        <v>500000</v>
      </c>
      <c r="F4" s="91" t="n">
        <v>2000</v>
      </c>
      <c r="G4" s="91" t="n">
        <v>1.2</v>
      </c>
      <c r="H4" s="95">
        <f>D4*G4/1048576</f>
        <v/>
      </c>
      <c r="I4" s="58" t="inlineStr">
        <is>
          <t>&lt; 10s end-to-end</t>
        </is>
      </c>
    </row>
    <row r="5" ht="15" customHeight="1" s="52">
      <c r="A5" s="93" t="inlineStr">
        <is>
          <t>Fraud Alerts</t>
        </is>
      </c>
      <c r="B5" s="96" t="n">
        <v>125000</v>
      </c>
      <c r="C5" s="96" t="n">
        <v>20</v>
      </c>
      <c r="D5" s="97">
        <f>B5*(1+C5/100)</f>
        <v/>
      </c>
      <c r="E5" s="96" t="n">
        <v>50</v>
      </c>
      <c r="F5" s="96" t="n">
        <v>100</v>
      </c>
      <c r="G5" s="96" t="n">
        <v>3.5</v>
      </c>
      <c r="H5" s="97">
        <f>D5*G5/1048576</f>
        <v/>
      </c>
      <c r="I5" s="67" t="inlineStr">
        <is>
          <t>&lt; 1s scoring</t>
        </is>
      </c>
    </row>
    <row r="6" ht="15" customHeight="1" s="52">
      <c r="A6" s="63" t="inlineStr">
        <is>
          <t>Consent Tokens</t>
        </is>
      </c>
      <c r="B6" s="91" t="n">
        <v>2000000</v>
      </c>
      <c r="C6" s="91" t="n">
        <v>30</v>
      </c>
      <c r="D6" s="95">
        <f>B6*(1+C6/100)</f>
        <v/>
      </c>
      <c r="E6" s="91" t="n">
        <v>100000</v>
      </c>
      <c r="F6" s="91" t="n">
        <v>500</v>
      </c>
      <c r="G6" s="91" t="n">
        <v>0.5</v>
      </c>
      <c r="H6" s="95">
        <f>D6*G6/1048576</f>
        <v/>
      </c>
      <c r="I6" s="58" t="inlineStr">
        <is>
          <t>&lt; 200ms validation</t>
        </is>
      </c>
    </row>
    <row r="7" ht="15" customHeight="1" s="52">
      <c r="A7" s="93" t="inlineStr">
        <is>
          <t>SARs Filed</t>
        </is>
      </c>
      <c r="B7" s="96" t="n">
        <v>1200</v>
      </c>
      <c r="C7" s="96" t="n">
        <v>10</v>
      </c>
      <c r="D7" s="97">
        <f>B7*(1+C7/100)</f>
        <v/>
      </c>
      <c r="E7" s="96" t="n">
        <v>10</v>
      </c>
      <c r="F7" s="96" t="n">
        <v>1</v>
      </c>
      <c r="G7" s="96" t="n">
        <v>15</v>
      </c>
      <c r="H7" s="97">
        <f>D7*G7/1048576</f>
        <v/>
      </c>
      <c r="I7" s="67" t="inlineStr">
        <is>
          <t>&lt; 24h filing</t>
        </is>
      </c>
    </row>
    <row r="8" ht="15" customHeight="1" s="52">
      <c r="A8" s="102" t="inlineStr">
        <is>
          <t>TOTAL</t>
        </is>
      </c>
      <c r="B8" s="103">
        <f>SUM(B4:B7)</f>
        <v/>
      </c>
      <c r="C8" s="104" t="n"/>
      <c r="D8" s="103">
        <f>SUM(D4:D7)</f>
        <v/>
      </c>
      <c r="E8" s="104" t="n"/>
      <c r="F8" s="104" t="n"/>
      <c r="G8" s="104" t="n"/>
      <c r="H8" s="103">
        <f>SUM(H4:H7)</f>
        <v/>
      </c>
      <c r="I8" s="104" t="n"/>
    </row>
  </sheetData>
  <autoFilter ref="A3:I7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tabColor rgb="00BE185D"/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52" min="1" max="1"/>
    <col width="30" customWidth="1" style="52" min="2" max="2"/>
    <col width="45" customWidth="1" style="52" min="3" max="3"/>
    <col width="18" customWidth="1" style="52" min="4" max="4"/>
    <col width="12" customWidth="1" style="52" min="5" max="5"/>
    <col width="10" customWidth="1" style="52" min="6" max="6"/>
    <col width="12" customWidth="1" style="52" min="7" max="7"/>
    <col width="16" customWidth="1" style="52" min="8" max="8"/>
    <col width="22" customWidth="1" style="52" min="9" max="9"/>
    <col width="14" customWidth="1" style="52" min="10" max="10"/>
    <col width="18" customWidth="1" style="52" min="11" max="11"/>
  </cols>
  <sheetData>
    <row r="1" ht="28" customHeight="1" s="52">
      <c r="A1" s="105" t="inlineStr">
        <is>
          <t>Change Request Register</t>
        </is>
      </c>
    </row>
    <row r="3" ht="30" customHeight="1" s="52">
      <c r="A3" s="106" t="inlineStr">
        <is>
          <t>CR ID</t>
        </is>
      </c>
      <c r="B3" s="106" t="inlineStr">
        <is>
          <t>Title</t>
        </is>
      </c>
      <c r="C3" s="106" t="inlineStr">
        <is>
          <t>Description</t>
        </is>
      </c>
      <c r="D3" s="106" t="inlineStr">
        <is>
          <t>Requestor</t>
        </is>
      </c>
      <c r="E3" s="106" t="inlineStr">
        <is>
          <t>Date</t>
        </is>
      </c>
      <c r="F3" s="106" t="inlineStr">
        <is>
          <t>Impact</t>
        </is>
      </c>
      <c r="G3" s="106" t="inlineStr">
        <is>
          <t>Effort (days)</t>
        </is>
      </c>
      <c r="H3" s="106" t="inlineStr">
        <is>
          <t>Affected REQs</t>
        </is>
      </c>
      <c r="I3" s="106" t="inlineStr">
        <is>
          <t>Affected Fields</t>
        </is>
      </c>
      <c r="J3" s="106" t="inlineStr">
        <is>
          <t>Status</t>
        </is>
      </c>
      <c r="K3" s="106" t="inlineStr">
        <is>
          <t>Approved By</t>
        </is>
      </c>
    </row>
    <row r="4" ht="28" customHeight="1" s="52">
      <c r="A4" s="107" t="inlineStr">
        <is>
          <t>CR-001</t>
        </is>
      </c>
      <c r="B4" s="108" t="inlineStr">
        <is>
          <t>Lower SCA exemption threshold from 30 EUR to 25 EUR</t>
        </is>
      </c>
      <c r="C4" s="109" t="inlineStr">
        <is>
          <t>Regulatory update: EBA consultation paper proposes lowering low-value exemption threshold.</t>
        </is>
      </c>
      <c r="D4" s="109" t="inlineStr">
        <is>
          <t>Regulatory Affairs</t>
        </is>
      </c>
      <c r="E4" s="110" t="inlineStr">
        <is>
          <t>2026-04-01</t>
        </is>
      </c>
      <c r="F4" s="111" t="inlineStr">
        <is>
          <t>High</t>
        </is>
      </c>
      <c r="G4" s="110" t="inlineStr">
        <is>
          <t>5</t>
        </is>
      </c>
      <c r="H4" s="107" t="inlineStr">
        <is>
          <t>REQ-001, REQ-002</t>
        </is>
      </c>
      <c r="I4" s="107" t="inlineStr">
        <is>
          <t>TXN.sca_exempt</t>
        </is>
      </c>
      <c r="J4" s="112" t="inlineStr">
        <is>
          <t>Assessing</t>
        </is>
      </c>
      <c r="K4" s="109" t="inlineStr"/>
    </row>
    <row r="5" ht="28" customHeight="1" s="52">
      <c r="A5" s="113" t="inlineStr">
        <is>
          <t>CR-002</t>
        </is>
      </c>
      <c r="B5" s="114" t="inlineStr">
        <is>
          <t>Add Request-to-Pay (R2P) flow</t>
        </is>
      </c>
      <c r="C5" s="115" t="inlineStr">
        <is>
          <t>PSD3 final text mandates R2P support. New workflow WF004 + endpoint EP06 needed.</t>
        </is>
      </c>
      <c r="D5" s="115" t="inlineStr">
        <is>
          <t>Product Team</t>
        </is>
      </c>
      <c r="E5" s="116" t="inlineStr">
        <is>
          <t>2026-04-15</t>
        </is>
      </c>
      <c r="F5" s="111" t="inlineStr">
        <is>
          <t>High</t>
        </is>
      </c>
      <c r="G5" s="116" t="inlineStr">
        <is>
          <t>15</t>
        </is>
      </c>
      <c r="H5" s="113" t="inlineStr">
        <is>
          <t>REQ-009 (new)</t>
        </is>
      </c>
      <c r="I5" s="113" t="inlineStr">
        <is>
          <t>TXN.request_to_pay_ref</t>
        </is>
      </c>
      <c r="J5" s="112" t="inlineStr">
        <is>
          <t>Submitted</t>
        </is>
      </c>
      <c r="K5" s="115" t="inlineStr"/>
    </row>
  </sheetData>
  <autoFilter ref="A3:K5"/>
  <mergeCells count="1">
    <mergeCell ref="A1:K1"/>
  </mergeCells>
  <conditionalFormatting sqref="J4:J15">
    <cfRule type="cellIs" priority="1" operator="equal" dxfId="28">
      <formula>"Approved"</formula>
    </cfRule>
    <cfRule type="cellIs" priority="2" operator="equal" dxfId="29">
      <formula>"Rejected"</formula>
    </cfRule>
    <cfRule type="cellIs" priority="3" operator="equal" dxfId="30">
      <formula>"Submitted"</formula>
    </cfRule>
  </conditionalFormatting>
  <conditionalFormatting sqref="F4:F15">
    <cfRule type="cellIs" priority="4" operator="equal" dxfId="29">
      <formula>"High"</formula>
    </cfRule>
  </conditionalFormatting>
  <dataValidations count="2">
    <dataValidation sqref="F4:F15" showDropDown="0" showInputMessage="0" showErrorMessage="0" allowBlank="1" type="list">
      <formula1>"High,Medium,Low"</formula1>
    </dataValidation>
    <dataValidation sqref="J4:J15" showDropDown="0" showInputMessage="0" showErrorMessage="0" allowBlank="1" type="list">
      <formula1>"Submitted,Assessing,Approved,Rejected,Implemented,Deferred"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2026-03-29T00:01:54Z</dcterms:created>
  <dcterms:modified xmlns:dcterms="http://purl.org/dc/terms/" xmlns:xsi="http://www.w3.org/2001/XMLSchema-instance" xsi:type="dcterms:W3CDTF">2026-03-30T13:30:23Z</dcterms:modified>
  <cp:revision>1</cp:revision>
</cp:coreProperties>
</file>